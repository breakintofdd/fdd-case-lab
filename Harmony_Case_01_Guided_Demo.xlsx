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433c7ee71b48e3" /></Relationships>
</file>

<file path=xl/workbook.xml><?xml version="1.0" encoding="utf-8"?>
<x:workbook xmlns:x="http://schemas.openxmlformats.org/spreadsheetml/2006/main">
  <x:sheets>
    <x:sheet xmlns:r="http://schemas.openxmlformats.org/officeDocument/2006/relationships" name="Start Here" sheetId="1" r:id="R4f78a312f5c24db2"/>
    <x:sheet xmlns:r="http://schemas.openxmlformats.org/officeDocument/2006/relationships" name="Reported PL" sheetId="2" r:id="Rf394535722f24ac6"/>
    <x:sheet xmlns:r="http://schemas.openxmlformats.org/officeDocument/2006/relationships" name="Owner Example" sheetId="3" r:id="Racc6defefd664291"/>
    <x:sheet xmlns:r="http://schemas.openxmlformats.org/officeDocument/2006/relationships" name="Your Bridge" sheetId="4" r:id="Rfbde4fb5e5704993"/>
    <x:sheet xmlns:r="http://schemas.openxmlformats.org/officeDocument/2006/relationships" name="Case Facts" sheetId="5" r:id="R99a3af92bc54416d"/>
    <x:sheet xmlns:r="http://schemas.openxmlformats.org/officeDocument/2006/relationships" name="Mapping" sheetId="6" r:id="R9c96d8e09a4044cd"/>
    <x:sheet xmlns:r="http://schemas.openxmlformats.org/officeDocument/2006/relationships" name="Monthly TB" sheetId="7" r:id="Raf8206ed7da54102"/>
    <x:sheet xmlns:r="http://schemas.openxmlformats.org/officeDocument/2006/relationships" name="Raw TB" sheetId="8" r:id="Rd7125bfafa1f4e92"/>
    <x:sheet xmlns:r="http://schemas.openxmlformats.org/officeDocument/2006/relationships" name="Checks" sheetId="9" r:id="Ra966e4ebd88741ac"/>
  </x:sheets>
</x:workbook>
</file>

<file path=xl/sharedStrings.xml><?xml version="1.0" encoding="utf-8"?>
<x:sst xmlns:x="http://schemas.openxmlformats.org/spreadsheetml/2006/main"/>
</file>

<file path=xl/styles.xml><?xml version="1.0" encoding="utf-8"?>
<ns0:styleSheet xmlns:ns0="http://schemas.openxmlformats.org/spreadsheetml/2006/main">
  <ns0:numFmts count="4">
    <ns0:numFmt numFmtId="200" formatCode="mmm-yy"/>
    <ns0:numFmt numFmtId="201" formatCode="#,##0.000;(#,##0.000);&quot;–&quot;"/>
    <ns0:numFmt numFmtId="202" formatCode="0.00;(0.00);0.00"/>
    <ns0:numFmt numFmtId="203" formatCode="#,##0.0;(#,##0.0);&quot;–&quot;"/>
  </ns0:numFmts>
  <ns0:fonts count="10">
    <ns0:font>
      <ns0:sz val="11"/>
      <ns0:name val="Arial"/>
    </ns0:font>
    <ns0:font>
      <ns0:sz val="10"/>
      <ns0:color rgb="FF222222"/>
      <ns0:name val="Arial"/>
    </ns0:font>
    <ns0:font>
      <ns0:b/>
      <ns0:sz val="15"/>
      <ns0:color rgb="FF222222"/>
      <ns0:name val="Arial"/>
    </ns0:font>
    <ns0:font>
      <ns0:i/>
      <ns0:sz val="10"/>
      <ns0:color rgb="FF555555"/>
      <ns0:name val="Arial"/>
    </ns0:font>
    <ns0:font>
      <ns0:b/>
      <ns0:sz val="10"/>
      <ns0:color rgb="FFFFFFFF"/>
      <ns0:name val="Arial"/>
    </ns0:font>
    <ns0:font>
      <ns0:b/>
      <ns0:sz val="10"/>
      <ns0:color rgb="FF222222"/>
      <ns0:name val="Arial"/>
    </ns0:font>
    <ns0:font>
      <ns0:sz val="10"/>
      <ns0:color rgb="FF177245"/>
      <ns0:name val="Arial"/>
    </ns0:font>
    <ns0:font>
      <ns0:b/>
      <ns0:sz val="10"/>
      <ns0:color rgb="FF177245"/>
      <ns0:name val="Arial"/>
    </ns0:font>
    <ns0:font>
      <ns0:sz val="10"/>
      <ns0:color rgb="FF2459A7"/>
      <ns0:name val="Arial"/>
    </ns0:font>
    <ns0:font>
      <ns0:sz val="11"/>
      <ns0:name val="Arial"/>
    </ns0:font>
  </ns0:fonts>
  <ns0:fills count="6">
    <ns0:fill>
      <ns0:patternFill patternType="none"/>
    </ns0:fill>
    <ns0:fill>
      <ns0:patternFill patternType="gray125"/>
    </ns0:fill>
    <ns0:fill>
      <ns0:patternFill patternType="solid">
        <ns0:fgColor rgb="FF30343B"/>
      </ns0:patternFill>
    </ns0:fill>
    <ns0:fill>
      <ns0:patternFill patternType="solid">
        <ns0:fgColor rgb="FFFFFFFF"/>
      </ns0:patternFill>
    </ns0:fill>
    <ns0:fill>
      <ns0:patternFill patternType="solid">
        <ns0:fgColor rgb="FFECEDEF"/>
      </ns0:patternFill>
    </ns0:fill>
    <ns0:fill>
      <ns0:patternFill patternType="solid">
        <ns0:fgColor rgb="FFFFF2CC"/>
      </ns0:patternFill>
    </ns0:fill>
  </ns0:fills>
  <ns0:borders count="2">
    <ns0:border/>
    <ns0:border>
      <ns0:top style="thin">
        <ns0:color rgb="FF777777"/>
      </ns0:top>
    </ns0:border>
  </ns0:borders>
  <ns0:cellStyleXfs count="1">
    <ns0:xf numFmtId="0" fontId="0" fillId="0" borderId="0"/>
  </ns0:cellStyleXfs>
  <ns0:cellXfs count="49">
    <ns0:xf numFmtId="0" fontId="0" fillId="0" borderId="0" xfId="0"/>
    <ns0:xf numFmtId="0" fontId="1" fillId="0" borderId="0" xfId="0" applyNumberFormat="1" applyFont="1" applyFill="1" applyBorder="1"/>
    <ns0:xf numFmtId="0" fontId="1" fillId="0" borderId="0" xfId="0" applyNumberFormat="1" applyFont="1" applyFill="1" applyBorder="1" applyAlignment="1">
      <ns0:alignment vertical="center"/>
    </ns0:xf>
    <ns0:xf numFmtId="0" fontId="2" fillId="0" borderId="0" xfId="0" applyNumberFormat="1" applyFont="1" applyFill="1" applyBorder="1" applyAlignment="1">
      <ns0:alignment vertical="center"/>
    </ns0:xf>
    <ns0:xf numFmtId="0" fontId="3" fillId="0" borderId="0" xfId="0" applyNumberFormat="1" applyFont="1" applyFill="1" applyBorder="1" applyAlignment="1">
      <ns0:alignment vertical="center"/>
    </ns0:xf>
    <ns0:xf numFmtId="0" fontId="1" fillId="2" borderId="0" xfId="0" applyNumberFormat="1" applyFont="1" applyFill="1" applyBorder="1" applyAlignment="1">
      <ns0:alignment vertical="center"/>
    </ns0:xf>
    <ns0:xf numFmtId="0" fontId="4" fillId="2" borderId="0" xfId="0" applyNumberFormat="1" applyFont="1" applyFill="1" applyBorder="1" applyAlignment="1">
      <ns0:alignment vertical="center"/>
    </ns0:xf>
    <ns0:xf numFmtId="0" fontId="4" fillId="2" borderId="0" xfId="0" applyNumberFormat="1" applyFont="1" applyFill="1" applyBorder="1" applyAlignment="1">
      <ns0:alignment horizontal="center" vertical="center"/>
    </ns0:xf>
    <ns0:xf numFmtId="200" fontId="4" fillId="2" borderId="0" xfId="0" applyNumberFormat="1" applyFont="1" applyFill="1" applyBorder="1" applyAlignment="1">
      <ns0:alignment horizontal="center" vertical="center"/>
    </ns0:xf>
    <ns0:xf numFmtId="0" fontId="1" fillId="0" borderId="0" xfId="0" applyNumberFormat="1" applyFont="1" applyFill="1" applyBorder="1" applyAlignment="1">
      <ns0:alignment horizontal="center" vertical="center"/>
    </ns0:xf>
    <ns0:xf numFmtId="201" fontId="1" fillId="0" borderId="0" xfId="0" applyNumberFormat="1" applyFont="1" applyFill="1" applyBorder="1" applyAlignment="1">
      <ns0:alignment vertical="center"/>
    </ns0:xf>
    <ns0:xf numFmtId="202" fontId="1" fillId="0" borderId="0" xfId="0" applyNumberFormat="1" applyFont="1" applyFill="1" applyBorder="1" applyAlignment="1">
      <ns0:alignment vertical="center"/>
    </ns0:xf>
    <ns0:xf numFmtId="0" fontId="5" fillId="0" borderId="0" xfId="0" applyNumberFormat="1" applyFont="1" applyFill="1" applyBorder="1" applyAlignment="1">
      <ns0:alignment vertical="center"/>
    </ns0:xf>
    <ns0:xf numFmtId="202" fontId="5" fillId="0" borderId="0" xfId="0" applyNumberFormat="1" applyFont="1" applyFill="1" applyBorder="1" applyAlignment="1">
      <ns0:alignment vertical="center"/>
    </ns0:xf>
    <ns0:xf numFmtId="0" fontId="5" fillId="0" borderId="1" xfId="0" applyNumberFormat="1" applyFont="1" applyFill="1" applyBorder="1" applyAlignment="1">
      <ns0:alignment vertical="center"/>
    </ns0:xf>
    <ns0:xf numFmtId="202" fontId="5" fillId="0" borderId="1" xfId="0" applyNumberFormat="1" applyFont="1" applyFill="1" applyBorder="1" applyAlignment="1">
      <ns0:alignment vertical="center"/>
    </ns0:xf>
    <ns0:xf numFmtId="0" fontId="6" fillId="0" borderId="0" xfId="0" applyNumberFormat="1" applyFont="1" applyFill="1" applyBorder="1" applyAlignment="1">
      <ns0:alignment vertical="center"/>
    </ns0:xf>
    <ns0:xf numFmtId="0" fontId="6" fillId="0" borderId="0" xfId="0" applyNumberFormat="1" applyFont="1" applyFill="1" applyBorder="1" applyAlignment="1">
      <ns0:alignment horizontal="center" vertical="center"/>
    </ns0:xf>
    <ns0:xf numFmtId="0" fontId="4" fillId="3" borderId="0" xfId="0" applyNumberFormat="1" applyFont="1" applyFill="1" applyBorder="1" applyAlignment="1">
      <ns0:alignment horizontal="center" vertical="center"/>
    </ns0:xf>
    <ns0:xf numFmtId="0" fontId="1" fillId="3" borderId="0" xfId="0" applyNumberFormat="1" applyFont="1" applyFill="1" applyBorder="1" applyAlignment="1">
      <ns0:alignment vertical="center"/>
    </ns0:xf>
    <ns0:xf numFmtId="201" fontId="6" fillId="0" borderId="0" xfId="0" applyNumberFormat="1" applyFont="1" applyFill="1" applyBorder="1" applyAlignment="1">
      <ns0:alignment vertical="center"/>
    </ns0:xf>
    <ns0:xf numFmtId="203" fontId="1" fillId="0" borderId="0" xfId="0" applyNumberFormat="1" applyFont="1" applyFill="1" applyBorder="1" applyAlignment="1">
      <ns0:alignment vertical="center"/>
    </ns0:xf>
    <ns0:xf numFmtId="203" fontId="0" fillId="0" borderId="0" xfId="0" applyNumberFormat="1" applyFont="1" applyFill="1" applyBorder="1"/>
    <ns0:xf numFmtId="203" fontId="1" fillId="3" borderId="0" xfId="0" applyNumberFormat="1" applyFont="1" applyFill="1" applyBorder="1" applyAlignment="1">
      <ns0:alignment vertical="center"/>
    </ns0:xf>
    <ns0:xf numFmtId="203" fontId="0" fillId="3" borderId="0" xfId="0" applyNumberFormat="1" applyFont="1" applyFill="1" applyBorder="1"/>
    <ns0:xf numFmtId="203" fontId="6" fillId="0" borderId="0" xfId="0" applyNumberFormat="1" applyFont="1" applyFill="1" applyBorder="1" applyAlignment="1">
      <ns0:alignment vertical="center"/>
    </ns0:xf>
    <ns0:xf numFmtId="203" fontId="5" fillId="0" borderId="0" xfId="0" applyNumberFormat="1" applyFont="1" applyFill="1" applyBorder="1" applyAlignment="1">
      <ns0:alignment vertical="center"/>
    </ns0:xf>
    <ns0:xf numFmtId="203" fontId="5" fillId="3" borderId="0" xfId="0" applyNumberFormat="1" applyFont="1" applyFill="1" applyBorder="1" applyAlignment="1">
      <ns0:alignment vertical="center"/>
    </ns0:xf>
    <ns0:xf numFmtId="203" fontId="5" fillId="0" borderId="1" xfId="0" applyNumberFormat="1" applyFont="1" applyFill="1" applyBorder="1" applyAlignment="1">
      <ns0:alignment vertical="center"/>
    </ns0:xf>
    <ns0:xf numFmtId="203" fontId="5" fillId="3" borderId="1" xfId="0" applyNumberFormat="1" applyFont="1" applyFill="1" applyBorder="1" applyAlignment="1">
      <ns0:alignment vertical="center"/>
    </ns0:xf>
    <ns0:xf numFmtId="0" fontId="5" fillId="4" borderId="1" xfId="0" applyNumberFormat="1" applyFont="1" applyFill="1" applyBorder="1" applyAlignment="1">
      <ns0:alignment vertical="center"/>
    </ns0:xf>
    <ns0:xf numFmtId="203" fontId="5" fillId="4" borderId="1" xfId="0" applyNumberFormat="1" applyFont="1" applyFill="1" applyBorder="1" applyAlignment="1">
      <ns0:alignment vertical="center"/>
    </ns0:xf>
    <ns0:xf numFmtId="0" fontId="5" fillId="0" borderId="0" xfId="0" applyNumberFormat="1" applyFont="1" applyFill="1" applyBorder="1" applyAlignment="1">
      <ns0:alignment vertical="center" wrapText="1"/>
    </ns0:xf>
    <ns0:xf numFmtId="0" fontId="1" fillId="0" borderId="0" xfId="0" applyNumberFormat="1" applyFont="1" applyFill="1" applyBorder="1" applyAlignment="1">
      <ns0:alignment vertical="center" wrapText="1"/>
    </ns0:xf>
    <ns0:xf numFmtId="0" fontId="5" fillId="3" borderId="1" xfId="0" applyNumberFormat="1" applyFont="1" applyFill="1" applyBorder="1" applyAlignment="1">
      <ns0:alignment vertical="center"/>
    </ns0:xf>
    <ns0:xf numFmtId="203" fontId="7" fillId="0" borderId="0" xfId="0" applyNumberFormat="1" applyFont="1" applyFill="1" applyBorder="1" applyAlignment="1">
      <ns0:alignment vertical="center"/>
    </ns0:xf>
    <ns0:xf numFmtId="203" fontId="7" fillId="0" borderId="1" xfId="0" applyNumberFormat="1" applyFont="1" applyFill="1" applyBorder="1" applyAlignment="1">
      <ns0:alignment vertical="center"/>
    </ns0:xf>
    <ns0:xf numFmtId="0" fontId="5" fillId="0" borderId="1" xfId="0" applyNumberFormat="1" applyFont="1" applyFill="1" applyBorder="1" applyAlignment="1">
      <ns0:alignment vertical="center" wrapText="1"/>
    </ns0:xf>
    <ns0:xf numFmtId="203" fontId="7" fillId="4" borderId="1" xfId="0" applyNumberFormat="1" applyFont="1" applyFill="1" applyBorder="1" applyAlignment="1">
      <ns0:alignment vertical="center"/>
    </ns0:xf>
    <ns0:xf numFmtId="0" fontId="5" fillId="4" borderId="1" xfId="0" applyNumberFormat="1" applyFont="1" applyFill="1" applyBorder="1" applyAlignment="1">
      <ns0:alignment vertical="center" wrapText="1"/>
    </ns0:xf>
    <ns0:xf numFmtId="203" fontId="1" fillId="5" borderId="0" xfId="0" applyNumberFormat="1" applyFont="1" applyFill="1" applyBorder="1" applyAlignment="1">
      <ns0:alignment vertical="center"/>
    </ns0:xf>
    <ns0:xf numFmtId="203" fontId="8" fillId="5" borderId="0" xfId="0" applyNumberFormat="1" applyFont="1" applyFill="1" applyBorder="1" applyAlignment="1">
      <ns0:alignment vertical="center"/>
    </ns0:xf>
    <ns0:xf numFmtId="0" fontId="1" fillId="5" borderId="0" xfId="0" applyNumberFormat="1" applyFont="1" applyFill="1" applyBorder="1" applyAlignment="1">
      <ns0:alignment vertical="center"/>
    </ns0:xf>
    <ns0:xf numFmtId="0" fontId="1" fillId="5" borderId="0" xfId="0" applyNumberFormat="1" applyFont="1" applyFill="1" applyBorder="1" applyAlignment="1">
      <ns0:alignment vertical="center" wrapText="1"/>
    </ns0:xf>
    <ns0:xf numFmtId="202" fontId="1" fillId="3" borderId="0" xfId="0" applyNumberFormat="1" applyFont="1" applyFill="1" applyBorder="1" applyAlignment="1">
      <ns0:alignment vertical="center"/>
    </ns0:xf>
    <ns0:xf numFmtId="202" fontId="6" fillId="0" borderId="0" xfId="0" applyNumberFormat="1" applyFont="1" applyFill="1" applyBorder="1" applyAlignment="1">
      <ns0:alignment vertical="center"/>
    </ns0:xf>
    <ns0:xf numFmtId="0" fontId="9" fillId="0" borderId="0" xfId="0" applyNumberFormat="1" applyFont="1" applyFill="1" applyBorder="1"/>
    <ns0:xf numFmtId="203" fontId="9" fillId="0" borderId="0" xfId="0" applyNumberFormat="1" applyFont="1" applyFill="1" applyBorder="1"/>
    <ns0:xf numFmtId="203" fontId="9" fillId="3" borderId="0" xfId="0" applyNumberFormat="1" applyFont="1" applyFill="1" applyBorder="1"/>
  </ns0:cellXfs>
  <ns0:cellStyles count="1">
    <ns0:cellStyle name="Normal" xfId="0"/>
  </ns0:cellStyles>
  <ns0:dxfs count="1">
    <ns0:dxf>
      <ns0:font>
        <ns0:b/>
        <ns0:color rgb="FF9C0006"/>
      </ns0:font>
      <ns0:fill>
        <ns0:patternFill patternType="solid">
          <ns0:bgColor rgb="FFFCE4D6"/>
        </ns0:patternFill>
      </ns0:fill>
    </ns0:dxf>
  </ns0:dxfs>
</ns0:styleSheet>
</file>

<file path=xl/_rels/workbook.xml.rels>&#65279;<?xml version="1.0" encoding="utf-8"?><Relationships xmlns="http://schemas.openxmlformats.org/package/2006/relationships"><Relationship Type="http://schemas.openxmlformats.org/officeDocument/2006/relationships/styles" Target="/xl/styles.xml" Id="Rca43c7bc970241fa" /><Relationship Type="http://schemas.openxmlformats.org/officeDocument/2006/relationships/theme" Target="/xl/theme/theme1.xml" Id="R27253900a0434020" /><Relationship Type="http://schemas.openxmlformats.org/officeDocument/2006/relationships/sharedStrings" Target="/xl/sharedStrings.xml" Id="Rbea6334fee964ac0" /><Relationship Type="http://schemas.openxmlformats.org/officeDocument/2006/relationships/worksheet" Target="/xl/worksheets/sheet1.xml" Id="R4f78a312f5c24db2" /><Relationship Type="http://schemas.openxmlformats.org/officeDocument/2006/relationships/worksheet" Target="/xl/worksheets/sheet2.xml" Id="Rf394535722f24ac6" /><Relationship Type="http://schemas.openxmlformats.org/officeDocument/2006/relationships/worksheet" Target="/xl/worksheets/sheet3.xml" Id="Racc6defefd664291" /><Relationship Type="http://schemas.openxmlformats.org/officeDocument/2006/relationships/worksheet" Target="/xl/worksheets/sheet4.xml" Id="Rfbde4fb5e5704993" /><Relationship Type="http://schemas.openxmlformats.org/officeDocument/2006/relationships/worksheet" Target="/xl/worksheets/sheet5.xml" Id="R99a3af92bc54416d" /><Relationship Type="http://schemas.openxmlformats.org/officeDocument/2006/relationships/worksheet" Target="/xl/worksheets/sheet6.xml" Id="R9c96d8e09a4044cd" /><Relationship Type="http://schemas.openxmlformats.org/officeDocument/2006/relationships/worksheet" Target="/xl/worksheets/sheet7.xml" Id="Raf8206ed7da54102" /><Relationship Type="http://schemas.openxmlformats.org/officeDocument/2006/relationships/worksheet" Target="/xl/worksheets/sheet8.xml" Id="Rd7125bfafa1f4e92" /><Relationship Type="http://schemas.openxmlformats.org/officeDocument/2006/relationships/worksheet" Target="/xl/worksheets/sheet9.xml" Id="Ra966e4ebd88741ac" /></Relationships>
</file>

<file path=xl/theme/theme1.xml><?xml version="1.0" encoding="utf-8"?>
<ns0:theme xmlns:ns0="http://schemas.openxmlformats.org/drawingml/2006/main" name="ChatGPT">
  <ns0:themeElements>
    <ns0:clrScheme name="ChatGPT">
      <ns0:dk1>
        <ns0:sysClr val="windowText" lastClr="000000"/>
      </ns0:dk1>
      <ns0:lt1>
        <ns0:sysClr val="window" lastClr="FFFFFF"/>
      </ns0:lt1>
      <ns0:dk2>
        <ns0:srgbClr val="0E2841"/>
      </ns0:dk2>
      <ns0:lt2>
        <ns0:srgbClr val="E8E8E8"/>
      </ns0:lt2>
      <ns0:accent1>
        <ns0:srgbClr val="156082"/>
      </ns0:accent1>
      <ns0:accent2>
        <ns0:srgbClr val="E97132"/>
      </ns0:accent2>
      <ns0:accent3>
        <ns0:srgbClr val="196B24"/>
      </ns0:accent3>
      <ns0:accent4>
        <ns0:srgbClr val="0F9ED5"/>
      </ns0:accent4>
      <ns0:accent5>
        <ns0:srgbClr val="A02B93"/>
      </ns0:accent5>
      <ns0:accent6>
        <ns0:srgbClr val="4EA72E"/>
      </ns0:accent6>
      <ns0:hlink>
        <ns0:srgbClr val="467886"/>
      </ns0:hlink>
      <ns0:folHlink>
        <ns0:srgbClr val="96607D"/>
      </ns0:folHlink>
    </ns0:clrScheme>
    <ns0:fontScheme name="Office">
      <ns0:majorFont>
        <ns0:latin typeface="Arial"/>
        <ns0:ea typeface="Calibri Light"/>
        <ns0:cs typeface="Calibri Light"/>
      </ns0:majorFont>
      <ns0:minorFont>
        <ns0:latin typeface="Arial"/>
        <ns0:ea typeface="Calibri"/>
        <ns0:cs typeface="Calibri"/>
      </ns0:minorFont>
    </ns0:fontScheme>
    <ns0:fmtScheme name="ChatGPT">
      <ns0:fillStyleLst>
        <ns0:solidFill>
          <ns0:schemeClr val="phClr"/>
        </ns0:solidFill>
        <ns0:gradFill>
          <ns0:gsLst>
            <ns0:gs pos="0">
              <ns0:schemeClr val="phClr">
                <ns0:tint val="67000"/>
                <ns0:lumMod val="110000"/>
                <ns0:satMod val="105000"/>
              </ns0:schemeClr>
            </ns0:gs>
            <ns0:gs pos="50000">
              <ns0:schemeClr val="phClr">
                <ns0:tint val="73000"/>
                <ns0:lumMod val="105000"/>
                <ns0:satMod val="103000"/>
              </ns0:schemeClr>
            </ns0:gs>
            <ns0:gs pos="100000">
              <ns0:schemeClr val="phClr">
                <ns0:tint val="81000"/>
                <ns0:lumMod val="105000"/>
                <ns0:satMod val="109000"/>
              </ns0:schemeClr>
            </ns0:gs>
          </ns0:gsLst>
          <ns0:lin ang="5400000" scaled="0"/>
        </ns0:gradFill>
        <ns0:gradFill>
          <ns0:gsLst>
            <ns0:gs pos="0">
              <ns0:schemeClr val="phClr">
                <ns0:tint val="94000"/>
                <ns0:lumMod val="102000"/>
                <ns0:satMod val="103000"/>
              </ns0:schemeClr>
            </ns0:gs>
            <ns0:gs pos="50000">
              <ns0:schemeClr val="phClr">
                <ns0:shade val="100000"/>
                <ns0:lumMod val="100000"/>
                <ns0:satMod val="110000"/>
              </ns0:schemeClr>
            </ns0:gs>
            <ns0:gs pos="100000">
              <ns0:schemeClr val="phClr">
                <ns0:shade val="78000"/>
                <ns0:lumMod val="99000"/>
                <ns0:satMod val="120000"/>
              </ns0:schemeClr>
            </ns0:gs>
          </ns0:gsLst>
          <ns0:lin ang="5400000" scaled="0"/>
        </ns0:gradFill>
      </ns0:fillStyleLst>
      <ns0:lnStyleLst>
        <ns0:ln w="12700">
          <ns0:solidFill>
            <ns0:schemeClr val="phClr"/>
          </ns0:solidFill>
          <ns0:prstDash val="solid"/>
        </ns0:ln>
        <ns0:ln w="19050">
          <ns0:solidFill>
            <ns0:schemeClr val="phClr"/>
          </ns0:solidFill>
          <ns0:prstDash val="solid"/>
        </ns0:ln>
        <ns0:ln w="25400">
          <ns0:solidFill>
            <ns0:schemeClr val="phClr"/>
          </ns0:solidFill>
          <ns0:prstDash val="solid"/>
        </ns0:ln>
      </ns0:lnStyleLst>
      <ns0:effectStyleLst>
        <ns0:effectStyle>
          <ns0:effectLst/>
        </ns0:effectStyle>
        <ns0:effectStyle>
          <ns0:effectLst/>
        </ns0:effectStyle>
        <ns0:effectStyle>
          <ns0:effectLst>
            <ns0:outerShdw blurRad="57150" dist="19050" dir="5400000">
              <ns0:srgbClr val="000000">
                <ns0:alpha val="63000"/>
              </ns0:srgbClr>
            </ns0:outerShdw>
          </ns0:effectLst>
        </ns0:effectStyle>
      </ns0:effectStyleLst>
      <ns0:bgFillStyleLst>
        <ns0:solidFill>
          <ns0:schemeClr val="phClr"/>
        </ns0:solidFill>
        <ns0:solidFill>
          <ns0:schemeClr val="phClr">
            <ns0:tint val="95000"/>
            <ns0:satMod val="170000"/>
          </ns0:schemeClr>
        </ns0:solidFill>
        <ns0:gradFill>
          <ns0:gsLst>
            <ns0:gs pos="0">
              <ns0:schemeClr val="phClr">
                <ns0:tint val="93000"/>
                <ns0:shade val="98000"/>
                <ns0:lumMod val="102000"/>
                <ns0:satMod val="150000"/>
              </ns0:schemeClr>
            </ns0:gs>
            <ns0:gs pos="50000">
              <ns0:schemeClr val="phClr">
                <ns0:tint val="98000"/>
                <ns0:shade val="90000"/>
                <ns0:lumMod val="103000"/>
                <ns0:satMod val="130000"/>
              </ns0:schemeClr>
            </ns0:gs>
            <ns0:gs pos="100000">
              <ns0:schemeClr val="phClr">
                <ns0:shade val="63000"/>
                <ns0:satMod val="120000"/>
              </ns0:schemeClr>
            </ns0:gs>
          </ns0:gsLst>
          <ns0:lin ang="5400000" scaled="0"/>
        </ns0:gradFill>
      </ns0:bgFillStyleLst>
    </ns0:fmtScheme>
  </ns0:themeElements>
</ns0:theme>
</file>

<file path=xl/worksheets/sheet1.xml><?xml version="1.0" encoding="utf-8"?>
<x:worksheet xmlns:x="http://schemas.openxmlformats.org/spreadsheetml/2006/main">
  <x:sheetPr>
    <x:tabColor rgb="FF30343B"/>
  </x:sheetPr>
  <x:sheetViews>
    <x:sheetView showGridLines="0" workbookViewId="0"/>
  </x:sheetViews>
  <x:sheetFormatPr defaultRowHeight="15"/>
  <x:cols>
    <x:col min="1" max="1" width="34" hidden="0" customWidth="1"/>
    <x:col min="2" max="2" width="85" hidden="0" customWidth="1"/>
    <x:col min="3" max="3" width="8" hidden="0" customWidth="1"/>
    <x:col min="4" max="4" width="8" hidden="0" customWidth="1"/>
  </x:cols>
  <x:sheetData>
    <x:row r="1" ht="9" customHeight="1">
      <x:c r="A1" s="2"/>
      <x:c r="B1" s="2"/>
      <x:c r="C1" s="2"/>
      <x:c r="D1" s="2"/>
    </x:row>
    <x:row r="2" ht="21" customHeight="1">
      <x:c r="A2" s="3" t="str">
        <x:v>Harmony: raw TB to EBITDA</x:v>
      </x:c>
      <x:c r="B2" s="2"/>
      <x:c r="C2" s="2"/>
      <x:c r="D2" s="2"/>
    </x:row>
    <x:row r="3" ht="21" customHeight="1">
      <x:c r="A3" s="4" t="str">
        <x:v>Break Into FDD | Guided synthetic FDD case | FY2025</x:v>
      </x:c>
      <x:c r="B3" s="2"/>
      <x:c r="C3" s="2"/>
      <x:c r="D3" s="2"/>
    </x:row>
    <x:row r="4" ht="21" customHeight="1">
      <x:c r="A4" s="2"/>
      <x:c r="B4" s="2"/>
      <x:c r="C4" s="2"/>
      <x:c r="D4" s="2"/>
    </x:row>
    <x:row r="5" ht="70" customHeight="1">
      <x:c r="A5" s="32" t="str">
        <x:v>The task</x:v>
      </x:c>
      <x:c r="B5" s="33" t="str">
        <x:v>Turn a year-to-date accounting export into a monthly P&amp;L, trace reported earnings, then challenge management’s adjustment proposal. One owner-compensation example is worked; you complete the legal and lease conclusions.</x:v>
      </x:c>
      <x:c r="C5" s="2"/>
      <x:c r="D5" s="2"/>
    </x:row>
    <x:row r="6" ht="21" customHeight="1">
      <x:c r="A6" s="2"/>
      <x:c r="B6" s="2"/>
      <x:c r="C6" s="2"/>
      <x:c r="D6" s="2"/>
    </x:row>
    <x:row r="7" ht="21" customHeight="1">
      <x:c r="A7" s="2"/>
      <x:c r="B7" s="2"/>
      <x:c r="C7" s="2"/>
      <x:c r="D7" s="2"/>
    </x:row>
    <x:row r="8" ht="65" customHeight="1">
      <x:c r="A8" s="32" t="str">
        <x:v>What this demonstrates</x:v>
      </x:c>
      <x:c r="B8" s="33" t="str">
        <x:v>Account mapping, YTD-to-monthly conversion, formula-linked financial reporting, source reconciliation, earnings normalization and the distinction between historical QoE and go-forward standalone costs.</x:v>
      </x:c>
      <x:c r="C8" s="2"/>
      <x:c r="D8" s="2"/>
    </x:row>
    <x:row r="9" ht="21" customHeight="1">
      <x:c r="A9" s="2"/>
      <x:c r="B9" s="2"/>
      <x:c r="C9" s="2"/>
      <x:c r="D9" s="2"/>
    </x:row>
    <x:row r="10" ht="21" customHeight="1">
      <x:c r="A10" s="2"/>
      <x:c r="B10" s="2"/>
      <x:c r="C10" s="2"/>
      <x:c r="D10" s="2"/>
    </x:row>
    <x:row r="11" ht="60" customHeight="1">
      <x:c r="A11" s="32" t="str">
        <x:v>Quick inspection</x:v>
      </x:c>
      <x:c r="B11" s="33" t="str">
        <x:v>Open Reported PL to inspect the monthly accounting output. Follow a formula back through Monthly TB and Mapping to Raw TB. Then inspect Owner Example and the uncompleted Your Bridge.</x:v>
      </x:c>
      <x:c r="C11" s="2"/>
      <x:c r="D11" s="2"/>
    </x:row>
    <x:row r="12" ht="21" customHeight="1">
      <x:c r="A12" s="2"/>
      <x:c r="B12" s="2"/>
      <x:c r="C12" s="2"/>
      <x:c r="D12" s="2"/>
    </x:row>
    <x:row r="13" ht="21" customHeight="1">
      <x:c r="A13" s="2"/>
      <x:c r="B13" s="2"/>
      <x:c r="C13" s="2"/>
      <x:c r="D13" s="2"/>
    </x:row>
    <x:row r="14" ht="70" customHeight="1">
      <x:c r="A14" s="32" t="str">
        <x:v>Complete the exercise</x:v>
      </x:c>
      <x:c r="B14" s="33" t="str">
        <x:v>1. Review Case Facts and the selected legal invoices. 2. Enter your signed legal adjustment and lease normalization in the two amber amount cells on Your Bridge. 3. Write a short rationale and the further evidence you would request.</x:v>
      </x:c>
      <x:c r="C14" s="2"/>
      <x:c r="D14" s="2"/>
    </x:row>
    <x:row r="15" ht="21" customHeight="1">
      <x:c r="A15" s="2"/>
      <x:c r="B15" s="2"/>
      <x:c r="C15" s="2"/>
      <x:c r="D15" s="2"/>
    </x:row>
    <x:row r="16" ht="21" customHeight="1">
      <x:c r="A16" s="2"/>
      <x:c r="B16" s="2"/>
      <x:c r="C16" s="2"/>
      <x:c r="D16" s="2"/>
    </x:row>
    <x:row r="17" ht="65" customHeight="1">
      <x:c r="A17" s="32" t="str">
        <x:v>Deliverable</x:v>
      </x:c>
      <x:c r="B17" s="33" t="str">
        <x:v>Submit the completed Your Bridge sheet with a concise explanation of each remaining adjustment. State why each item affects historical recurring earnings or the go-forward cost base. Keep the original reported P&amp;L intact.</x:v>
      </x:c>
      <x:c r="C17" s="2"/>
      <x:c r="D17" s="2"/>
    </x:row>
    <x:row r="18" ht="21" customHeight="1">
      <x:c r="A18" s="2"/>
      <x:c r="B18" s="2"/>
      <x:c r="C18" s="2"/>
      <x:c r="D18" s="2"/>
    </x:row>
    <x:row r="19" ht="21" customHeight="1">
      <x:c r="A19" s="2"/>
      <x:c r="B19" s="2"/>
      <x:c r="C19" s="2"/>
      <x:c r="D19" s="2"/>
    </x:row>
    <x:row r="20" ht="65" customHeight="1">
      <x:c r="A20" s="32" t="str">
        <x:v>Reading the file</x:v>
      </x:c>
      <x:c r="B20" s="33" t="str">
        <x:v>Amounts are $000. Raw TB uses debit-positive / credit-negative balances. The P&amp;L uses positive revenues and expenses. Formula-linked outputs flow from the source, and the Checks sheet tests the accounting reconciliation.</x:v>
      </x:c>
      <x:c r="C20" s="2"/>
      <x:c r="D20" s="2"/>
    </x:row>
    <x:row r="21" ht="21" customHeight="1">
      <x:c r="A21" s="2"/>
      <x:c r="B21" s="2"/>
      <x:c r="C21" s="2"/>
      <x:c r="D21" s="2"/>
    </x:row>
    <x:row r="22" ht="21" customHeight="1">
      <x:c r="A22" s="2"/>
      <x:c r="B22" s="2"/>
      <x:c r="C22" s="2"/>
      <x:c r="D22" s="2"/>
    </x:row>
    <x:row r="23" ht="65" customHeight="1">
      <x:c r="A23" s="32" t="str">
        <x:v>Boundaries</x:v>
      </x:c>
      <x:c r="B23" s="33" t="str">
        <x:v>The company, financial data and supporting records are fictional. This guided demo covers three adjustment issues. It does not include a complete answer key, NWC, net debt, purchase accounting or buyer-specific synergies.</x:v>
      </x:c>
      <x:c r="C23" s="2"/>
      <x:c r="D23" s="2"/>
    </x:row>
    <x:row r="24" ht="21" customHeight="1">
      <x:c r="A24" s="2"/>
      <x:c r="B24" s="2"/>
      <x:c r="C24" s="2"/>
      <x:c r="D24" s="2"/>
    </x:row>
    <x:row r="25" ht="21" customHeight="1">
      <x:c r="A25" s="2"/>
      <x:c r="B25" s="2"/>
      <x:c r="C25" s="2"/>
      <x:c r="D25" s="2"/>
    </x:row>
    <x:row r="26" ht="55" customHeight="1">
      <x:c r="A26" s="32" t="str">
        <x:v>Workbook navigation</x:v>
      </x:c>
      <x:c r="B26" s="33" t="str">
        <x:v>Start Here → Reported PL → Owner Example → Your Bridge → Case Facts. Inspect Mapping, Monthly TB, Raw TB and Checks whenever you want to trace or test the accounting.</x:v>
      </x:c>
      <x:c r="C26" s="2"/>
      <x:c r="D26" s="2"/>
    </x:row>
    <x:row r="27" ht="21" customHeight="1">
      <x:c r="A27" s="2"/>
      <x:c r="B27" s="2"/>
      <x:c r="C27" s="2"/>
      <x:c r="D27" s="2"/>
    </x:row>
    <x:row r="28" ht="21" customHeight="1">
      <x:c r="A28" s="2"/>
      <x:c r="B28" s="2"/>
      <x:c r="C28" s="2"/>
      <x:c r="D28" s="2"/>
    </x:row>
    <x:row r="29" ht="55" customHeight="1">
      <x:c r="A29" s="32" t="str">
        <x:v>Compatibility</x:v>
      </x:c>
      <x:c r="B29" s="33" t="str">
        <x:v>The file uses ordinary SUM, SUMIFS and IF formulas. It has no macros, external workbook links, hidden solution sheets or add-ins. Gridlines are hidden and all workbook fonts are Arial.</x:v>
      </x:c>
      <x:c r="C29" s="2"/>
      <x:c r="D29" s="2"/>
    </x:row>
    <x:row r="30" ht="21" customHeight="1">
      <x:c r="A30" s="2"/>
      <x:c r="B30" s="2"/>
      <x:c r="C30" s="2"/>
      <x:c r="D30" s="2"/>
    </x:row>
    <x:row r="31" ht="21" customHeight="1">
      <x:c r="A31" s="2"/>
      <x:c r="B31" s="2"/>
      <x:c r="C31" s="2"/>
      <x:c r="D31" s="2"/>
    </x:row>
    <x:row r="32" ht="21" customHeight="1">
      <x:c r="A32" s="2"/>
      <x:c r="B32" s="2"/>
      <x:c r="C32" s="2"/>
      <x:c r="D32" s="2"/>
    </x:row>
    <x:row r="33" ht="21" customHeight="1">
      <x:c r="A33" s="2"/>
      <x:c r="B33" s="2"/>
      <x:c r="C33" s="2"/>
      <x:c r="D33" s="2"/>
    </x:row>
    <x:row r="34" ht="21" customHeight="1">
      <x:c r="A34" s="2"/>
      <x:c r="B34" s="2"/>
      <x:c r="C34" s="2"/>
      <x:c r="D34" s="2"/>
    </x:row>
    <x:row r="35" ht="21" customHeight="1">
      <x:c r="A35" s="2"/>
      <x:c r="B35" s="2"/>
      <x:c r="C35" s="2"/>
      <x:c r="D35" s="2"/>
    </x:row>
    <x:row r="36" ht="21" customHeight="1">
      <x:c r="A36" s="2"/>
      <x:c r="B36" s="2"/>
      <x:c r="C36" s="2"/>
      <x:c r="D36" s="2"/>
    </x:row>
  </x:sheetData>
  <x:pageMargins left="0.7" right="0.7" top="0.75" bottom="0.75" header="0.3" footer="0.3"/>
</x:worksheet>
</file>

<file path=xl/worksheets/sheet2.xml><?xml version="1.0" encoding="utf-8"?>
<x:worksheet xmlns:x="http://schemas.openxmlformats.org/spreadsheetml/2006/main">
  <x:sheetPr>
    <x:tabColor rgb="FF30343B"/>
  </x:sheetPr>
  <x:sheetViews>
    <x:sheetView showGridLines="0" workbookViewId="0">
      <x:pane xSplit="1" ySplit="5" topLeftCell="B6" activePane="bottomRight" state="frozen"/>
    </x:sheetView>
  </x:sheetViews>
  <x:sheetFormatPr defaultRowHeight="15"/>
  <x:cols>
    <x:col min="1" max="1" width="43" hidden="0" customWidth="1"/>
    <x:col min="2" max="2" width="14" hidden="0" customWidth="1"/>
    <x:col min="3" max="3" width="3"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9" customHeight="1">
      <x:c r="A1" s="2"/>
      <x:c r="B1" s="2"/>
      <x:c r="C1" s="2"/>
      <x:c r="D1" s="2"/>
      <x:c r="E1" s="2"/>
      <x:c r="F1" s="2"/>
      <x:c r="G1" s="2"/>
      <x:c r="H1" s="2"/>
      <x:c r="I1" s="2"/>
      <x:c r="J1" s="2"/>
      <x:c r="K1" s="2"/>
      <x:c r="L1" s="2"/>
      <x:c r="M1" s="2"/>
      <x:c r="N1" s="2"/>
      <x:c r="O1" s="2"/>
    </x:row>
    <x:row r="2" ht="21" customHeight="1">
      <x:c r="A2" s="3" t="str">
        <x:v>Harmony reported profit and loss</x:v>
      </x:c>
      <x:c r="B2" s="2"/>
      <x:c r="C2" s="2"/>
      <x:c r="D2" s="2"/>
      <x:c r="E2" s="2"/>
      <x:c r="F2" s="2"/>
      <x:c r="G2" s="2"/>
      <x:c r="H2" s="2"/>
      <x:c r="I2" s="2"/>
      <x:c r="J2" s="2"/>
      <x:c r="K2" s="2"/>
      <x:c r="L2" s="2"/>
      <x:c r="M2" s="2"/>
      <x:c r="N2" s="2"/>
      <x:c r="O2" s="2"/>
    </x:row>
    <x:row r="3" ht="21" customHeight="1">
      <x:c r="A3" s="4" t="str">
        <x:v>Break Into FDD | FY2025 | $000 | Historical results before normalization</x:v>
      </x:c>
      <x:c r="B3" s="2"/>
      <x:c r="C3" s="2"/>
      <x:c r="D3" s="2"/>
      <x:c r="E3" s="2"/>
      <x:c r="F3" s="2"/>
      <x:c r="G3" s="2"/>
      <x:c r="H3" s="2"/>
      <x:c r="I3" s="2"/>
      <x:c r="J3" s="2"/>
      <x:c r="K3" s="2"/>
      <x:c r="L3" s="2"/>
      <x:c r="M3" s="2"/>
      <x:c r="N3" s="2"/>
      <x:c r="O3" s="2"/>
    </x:row>
    <x:row r="4" ht="21" customHeight="1">
      <x:c r="A4" s="2"/>
      <x:c r="B4" s="2"/>
      <x:c r="C4" s="2"/>
      <x:c r="D4" s="2"/>
      <x:c r="E4" s="2"/>
      <x:c r="F4" s="2"/>
      <x:c r="G4" s="2"/>
      <x:c r="H4" s="2"/>
      <x:c r="I4" s="2"/>
      <x:c r="J4" s="2"/>
      <x:c r="K4" s="2"/>
      <x:c r="L4" s="2"/>
      <x:c r="M4" s="2"/>
      <x:c r="N4" s="2"/>
      <x:c r="O4" s="2"/>
    </x:row>
    <x:row r="5" ht="27" customHeight="1">
      <x:c r="A5" s="7" t="str">
        <x:v>$000</x:v>
      </x:c>
      <x:c r="B5" s="7" t="str">
        <x:v>FY2025</x:v>
      </x:c>
      <x:c r="C5" s="18" t="str"/>
      <x:c r="D5" s="8" t="n">
        <x:v>45658</x:v>
      </x:c>
      <x:c r="E5" s="8" t="n">
        <x:v>45689</x:v>
      </x:c>
      <x:c r="F5" s="8" t="n">
        <x:v>45717</x:v>
      </x:c>
      <x:c r="G5" s="8" t="n">
        <x:v>45748</x:v>
      </x:c>
      <x:c r="H5" s="8" t="n">
        <x:v>45778</x:v>
      </x:c>
      <x:c r="I5" s="8" t="n">
        <x:v>45809</x:v>
      </x:c>
      <x:c r="J5" s="8" t="n">
        <x:v>45839</x:v>
      </x:c>
      <x:c r="K5" s="8" t="n">
        <x:v>45870</x:v>
      </x:c>
      <x:c r="L5" s="8" t="n">
        <x:v>45901</x:v>
      </x:c>
      <x:c r="M5" s="8" t="n">
        <x:v>45931</x:v>
      </x:c>
      <x:c r="N5" s="8" t="n">
        <x:v>45962</x:v>
      </x:c>
      <x:c r="O5" s="8" t="n">
        <x:v>45992</x:v>
      </x:c>
    </x:row>
    <x:row r="6" ht="21" customHeight="1">
      <x:c r="A6" s="2" t="str">
        <x:v>Recurring janitorial revenue</x:v>
      </x:c>
      <x:c r="B6" s="21" t="n">
        <x:f>SUM(D6:O6)</x:f>
        <x:v>16200</x:v>
      </x:c>
      <x:c r="C6" s="23"/>
      <x:c r="D6" s="21" t="n">
        <x:f>SUMIFS('Monthly TB'!G$6:G$45,'Monthly TB'!$A$6:$A$45,4000)</x:f>
        <x:v>1120</x:v>
      </x:c>
      <x:c r="E6" s="21" t="n">
        <x:f>SUMIFS('Monthly TB'!H$6:H$45,'Monthly TB'!$A$6:$A$45,4000)</x:f>
        <x:v>1160</x:v>
      </x:c>
      <x:c r="F6" s="21" t="n">
        <x:f>SUMIFS('Monthly TB'!I$6:I$45,'Monthly TB'!$A$6:$A$45,4000)</x:f>
        <x:v>1230</x:v>
      </x:c>
      <x:c r="G6" s="21" t="n">
        <x:f>SUMIFS('Monthly TB'!J$6:J$45,'Monthly TB'!$A$6:$A$45,4000)</x:f>
        <x:v>1320</x:v>
      </x:c>
      <x:c r="H6" s="21" t="n">
        <x:f>SUMIFS('Monthly TB'!K$6:K$45,'Monthly TB'!$A$6:$A$45,4000)</x:f>
        <x:v>1410</x:v>
      </x:c>
      <x:c r="I6" s="21" t="n">
        <x:f>SUMIFS('Monthly TB'!L$6:L$45,'Monthly TB'!$A$6:$A$45,4000)</x:f>
        <x:v>1490</x:v>
      </x:c>
      <x:c r="J6" s="21" t="n">
        <x:f>SUMIFS('Monthly TB'!M$6:M$45,'Monthly TB'!$A$6:$A$45,4000)</x:f>
        <x:v>1430</x:v>
      </x:c>
      <x:c r="K6" s="21" t="n">
        <x:f>SUMIFS('Monthly TB'!N$6:N$45,'Monthly TB'!$A$6:$A$45,4000)</x:f>
        <x:v>1370</x:v>
      </x:c>
      <x:c r="L6" s="21" t="n">
        <x:f>SUMIFS('Monthly TB'!O$6:O$45,'Monthly TB'!$A$6:$A$45,4000)</x:f>
        <x:v>1340</x:v>
      </x:c>
      <x:c r="M6" s="21" t="n">
        <x:f>SUMIFS('Monthly TB'!P$6:P$45,'Monthly TB'!$A$6:$A$45,4000)</x:f>
        <x:v>1400</x:v>
      </x:c>
      <x:c r="N6" s="21" t="n">
        <x:f>SUMIFS('Monthly TB'!Q$6:Q$45,'Monthly TB'!$A$6:$A$45,4000)</x:f>
        <x:v>1490</x:v>
      </x:c>
      <x:c r="O6" s="21" t="n">
        <x:f>SUMIFS('Monthly TB'!R$6:R$45,'Monthly TB'!$A$6:$A$45,4000)</x:f>
        <x:v>1440</x:v>
      </x:c>
    </x:row>
    <x:row r="7" ht="21" customHeight="1">
      <x:c r="A7" s="2" t="str">
        <x:v>Project revenue</x:v>
      </x:c>
      <x:c r="B7" s="21" t="n">
        <x:f>SUM(D7:O7)</x:f>
        <x:v>1800</x:v>
      </x:c>
      <x:c r="C7" s="23"/>
      <x:c r="D7" s="21" t="n">
        <x:f>SUMIFS('Monthly TB'!G$6:G$45,'Monthly TB'!$A$6:$A$45,4010)</x:f>
        <x:v>80</x:v>
      </x:c>
      <x:c r="E7" s="21" t="n">
        <x:f>SUMIFS('Monthly TB'!H$6:H$45,'Monthly TB'!$A$6:$A$45,4010)</x:f>
        <x:v>90</x:v>
      </x:c>
      <x:c r="F7" s="21" t="n">
        <x:f>SUMIFS('Monthly TB'!I$6:I$45,'Monthly TB'!$A$6:$A$45,4010)</x:f>
        <x:v>120</x:v>
      </x:c>
      <x:c r="G7" s="21" t="n">
        <x:f>SUMIFS('Monthly TB'!J$6:J$45,'Monthly TB'!$A$6:$A$45,4010)</x:f>
        <x:v>130</x:v>
      </x:c>
      <x:c r="H7" s="21" t="n">
        <x:f>SUMIFS('Monthly TB'!K$6:K$45,'Monthly TB'!$A$6:$A$45,4010)</x:f>
        <x:v>140</x:v>
      </x:c>
      <x:c r="I7" s="21" t="n">
        <x:f>SUMIFS('Monthly TB'!L$6:L$45,'Monthly TB'!$A$6:$A$45,4010)</x:f>
        <x:v>160</x:v>
      </x:c>
      <x:c r="J7" s="21" t="n">
        <x:f>SUMIFS('Monthly TB'!M$6:M$45,'Monthly TB'!$A$6:$A$45,4010)</x:f>
        <x:v>170</x:v>
      </x:c>
      <x:c r="K7" s="21" t="n">
        <x:f>SUMIFS('Monthly TB'!N$6:N$45,'Monthly TB'!$A$6:$A$45,4010)</x:f>
        <x:v>180</x:v>
      </x:c>
      <x:c r="L7" s="21" t="n">
        <x:f>SUMIFS('Monthly TB'!O$6:O$45,'Monthly TB'!$A$6:$A$45,4010)</x:f>
        <x:v>160</x:v>
      </x:c>
      <x:c r="M7" s="21" t="n">
        <x:f>SUMIFS('Monthly TB'!P$6:P$45,'Monthly TB'!$A$6:$A$45,4010)</x:f>
        <x:v>150</x:v>
      </x:c>
      <x:c r="N7" s="21" t="n">
        <x:f>SUMIFS('Monthly TB'!Q$6:Q$45,'Monthly TB'!$A$6:$A$45,4010)</x:f>
        <x:v>210</x:v>
      </x:c>
      <x:c r="O7" s="21" t="n">
        <x:f>SUMIFS('Monthly TB'!R$6:R$45,'Monthly TB'!$A$6:$A$45,4010)</x:f>
        <x:v>210</x:v>
      </x:c>
    </x:row>
    <x:row r="8" ht="21" customHeight="1">
      <x:c r="A8" s="14" t="str">
        <x:v>Total revenue</x:v>
      </x:c>
      <x:c r="B8" s="28" t="n">
        <x:f>SUM(D8:O8)</x:f>
        <x:v>18000</x:v>
      </x:c>
      <x:c r="C8" s="29"/>
      <x:c r="D8" s="28" t="n">
        <x:f>SUM(D6:D7)</x:f>
        <x:v>1200</x:v>
      </x:c>
      <x:c r="E8" s="28" t="n">
        <x:f>SUM(E6:E7)</x:f>
        <x:v>1250</x:v>
      </x:c>
      <x:c r="F8" s="28" t="n">
        <x:f>SUM(F6:F7)</x:f>
        <x:v>1350</x:v>
      </x:c>
      <x:c r="G8" s="28" t="n">
        <x:f>SUM(G6:G7)</x:f>
        <x:v>1450</x:v>
      </x:c>
      <x:c r="H8" s="28" t="n">
        <x:f>SUM(H6:H7)</x:f>
        <x:v>1550</x:v>
      </x:c>
      <x:c r="I8" s="28" t="n">
        <x:f>SUM(I6:I7)</x:f>
        <x:v>1650</x:v>
      </x:c>
      <x:c r="J8" s="28" t="n">
        <x:f>SUM(J6:J7)</x:f>
        <x:v>1600</x:v>
      </x:c>
      <x:c r="K8" s="28" t="n">
        <x:f>SUM(K6:K7)</x:f>
        <x:v>1550</x:v>
      </x:c>
      <x:c r="L8" s="28" t="n">
        <x:f>SUM(L6:L7)</x:f>
        <x:v>1500</x:v>
      </x:c>
      <x:c r="M8" s="28" t="n">
        <x:f>SUM(M6:M7)</x:f>
        <x:v>1550</x:v>
      </x:c>
      <x:c r="N8" s="28" t="n">
        <x:f>SUM(N6:N7)</x:f>
        <x:v>1700</x:v>
      </x:c>
      <x:c r="O8" s="28" t="n">
        <x:f>SUM(O6:O7)</x:f>
        <x:v>1650</x:v>
      </x:c>
    </x:row>
    <x:row r="9" ht="21" customHeight="1">
      <x:c r="A9" s="2"/>
      <x:c r="B9" s="21"/>
      <x:c r="C9" s="23"/>
      <x:c r="D9" s="21"/>
      <x:c r="E9" s="21"/>
      <x:c r="F9" s="21"/>
      <x:c r="G9" s="21"/>
      <x:c r="H9" s="21"/>
      <x:c r="I9" s="21"/>
      <x:c r="J9" s="21"/>
      <x:c r="K9" s="21"/>
      <x:c r="L9" s="21"/>
      <x:c r="M9" s="21"/>
      <x:c r="N9" s="21"/>
      <x:c r="O9" s="21"/>
    </x:row>
    <x:row r="10" ht="21" customHeight="1">
      <x:c r="A10" s="2" t="str">
        <x:v>Field labor</x:v>
      </x:c>
      <x:c r="B10" s="21" t="n">
        <x:f>SUM(D10:O10)</x:f>
        <x:v>7740</x:v>
      </x:c>
      <x:c r="C10" s="23"/>
      <x:c r="D10" s="21" t="n">
        <x:f>SUMIFS('Monthly TB'!G$6:G$45,'Monthly TB'!$A$6:$A$45,5000)</x:f>
        <x:v>516</x:v>
      </x:c>
      <x:c r="E10" s="21" t="n">
        <x:f>SUMIFS('Monthly TB'!H$6:H$45,'Monthly TB'!$A$6:$A$45,5000)</x:f>
        <x:v>537.5</x:v>
      </x:c>
      <x:c r="F10" s="21" t="n">
        <x:f>SUMIFS('Monthly TB'!I$6:I$45,'Monthly TB'!$A$6:$A$45,5000)</x:f>
        <x:v>580.5</x:v>
      </x:c>
      <x:c r="G10" s="21" t="n">
        <x:f>SUMIFS('Monthly TB'!J$6:J$45,'Monthly TB'!$A$6:$A$45,5000)</x:f>
        <x:v>623.5</x:v>
      </x:c>
      <x:c r="H10" s="21" t="n">
        <x:f>SUMIFS('Monthly TB'!K$6:K$45,'Monthly TB'!$A$6:$A$45,5000)</x:f>
        <x:v>666.5</x:v>
      </x:c>
      <x:c r="I10" s="21" t="n">
        <x:f>SUMIFS('Monthly TB'!L$6:L$45,'Monthly TB'!$A$6:$A$45,5000)</x:f>
        <x:v>709.5</x:v>
      </x:c>
      <x:c r="J10" s="21" t="n">
        <x:f>SUMIFS('Monthly TB'!M$6:M$45,'Monthly TB'!$A$6:$A$45,5000)</x:f>
        <x:v>688</x:v>
      </x:c>
      <x:c r="K10" s="21" t="n">
        <x:f>SUMIFS('Monthly TB'!N$6:N$45,'Monthly TB'!$A$6:$A$45,5000)</x:f>
        <x:v>666.5</x:v>
      </x:c>
      <x:c r="L10" s="21" t="n">
        <x:f>SUMIFS('Monthly TB'!O$6:O$45,'Monthly TB'!$A$6:$A$45,5000)</x:f>
        <x:v>645</x:v>
      </x:c>
      <x:c r="M10" s="21" t="n">
        <x:f>SUMIFS('Monthly TB'!P$6:P$45,'Monthly TB'!$A$6:$A$45,5000)</x:f>
        <x:v>666.5</x:v>
      </x:c>
      <x:c r="N10" s="21" t="n">
        <x:f>SUMIFS('Monthly TB'!Q$6:Q$45,'Monthly TB'!$A$6:$A$45,5000)</x:f>
        <x:v>731</x:v>
      </x:c>
      <x:c r="O10" s="21" t="n">
        <x:f>SUMIFS('Monthly TB'!R$6:R$45,'Monthly TB'!$A$6:$A$45,5000)</x:f>
        <x:v>709.5</x:v>
      </x:c>
    </x:row>
    <x:row r="11" ht="21" customHeight="1">
      <x:c r="A11" s="2" t="str">
        <x:v>Payroll taxes and benefits</x:v>
      </x:c>
      <x:c r="B11" s="21" t="n">
        <x:f>SUM(D11:O11)</x:f>
        <x:v>1620</x:v>
      </x:c>
      <x:c r="C11" s="23"/>
      <x:c r="D11" s="21" t="n">
        <x:f>SUMIFS('Monthly TB'!G$6:G$45,'Monthly TB'!$A$6:$A$45,5010)</x:f>
        <x:v>108</x:v>
      </x:c>
      <x:c r="E11" s="21" t="n">
        <x:f>SUMIFS('Monthly TB'!H$6:H$45,'Monthly TB'!$A$6:$A$45,5010)</x:f>
        <x:v>112.5</x:v>
      </x:c>
      <x:c r="F11" s="21" t="n">
        <x:f>SUMIFS('Monthly TB'!I$6:I$45,'Monthly TB'!$A$6:$A$45,5010)</x:f>
        <x:v>121.5</x:v>
      </x:c>
      <x:c r="G11" s="21" t="n">
        <x:f>SUMIFS('Monthly TB'!J$6:J$45,'Monthly TB'!$A$6:$A$45,5010)</x:f>
        <x:v>130.5</x:v>
      </x:c>
      <x:c r="H11" s="21" t="n">
        <x:f>SUMIFS('Monthly TB'!K$6:K$45,'Monthly TB'!$A$6:$A$45,5010)</x:f>
        <x:v>139.5</x:v>
      </x:c>
      <x:c r="I11" s="21" t="n">
        <x:f>SUMIFS('Monthly TB'!L$6:L$45,'Monthly TB'!$A$6:$A$45,5010)</x:f>
        <x:v>148.5</x:v>
      </x:c>
      <x:c r="J11" s="21" t="n">
        <x:f>SUMIFS('Monthly TB'!M$6:M$45,'Monthly TB'!$A$6:$A$45,5010)</x:f>
        <x:v>144</x:v>
      </x:c>
      <x:c r="K11" s="21" t="n">
        <x:f>SUMIFS('Monthly TB'!N$6:N$45,'Monthly TB'!$A$6:$A$45,5010)</x:f>
        <x:v>139.5</x:v>
      </x:c>
      <x:c r="L11" s="21" t="n">
        <x:f>SUMIFS('Monthly TB'!O$6:O$45,'Monthly TB'!$A$6:$A$45,5010)</x:f>
        <x:v>135</x:v>
      </x:c>
      <x:c r="M11" s="21" t="n">
        <x:f>SUMIFS('Monthly TB'!P$6:P$45,'Monthly TB'!$A$6:$A$45,5010)</x:f>
        <x:v>139.5</x:v>
      </x:c>
      <x:c r="N11" s="21" t="n">
        <x:f>SUMIFS('Monthly TB'!Q$6:Q$45,'Monthly TB'!$A$6:$A$45,5010)</x:f>
        <x:v>153</x:v>
      </x:c>
      <x:c r="O11" s="21" t="n">
        <x:f>SUMIFS('Monthly TB'!R$6:R$45,'Monthly TB'!$A$6:$A$45,5010)</x:f>
        <x:v>148.5</x:v>
      </x:c>
    </x:row>
    <x:row r="12" ht="21" customHeight="1">
      <x:c r="A12" s="2" t="str">
        <x:v>Cleaning supplies</x:v>
      </x:c>
      <x:c r="B12" s="21" t="n">
        <x:f>SUM(D12:O12)</x:f>
        <x:v>900</x:v>
      </x:c>
      <x:c r="C12" s="23"/>
      <x:c r="D12" s="21" t="n">
        <x:f>SUMIFS('Monthly TB'!G$6:G$45,'Monthly TB'!$A$6:$A$45,5020)</x:f>
        <x:v>60</x:v>
      </x:c>
      <x:c r="E12" s="21" t="n">
        <x:f>SUMIFS('Monthly TB'!H$6:H$45,'Monthly TB'!$A$6:$A$45,5020)</x:f>
        <x:v>62.5</x:v>
      </x:c>
      <x:c r="F12" s="21" t="n">
        <x:f>SUMIFS('Monthly TB'!I$6:I$45,'Monthly TB'!$A$6:$A$45,5020)</x:f>
        <x:v>67.5</x:v>
      </x:c>
      <x:c r="G12" s="21" t="n">
        <x:f>SUMIFS('Monthly TB'!J$6:J$45,'Monthly TB'!$A$6:$A$45,5020)</x:f>
        <x:v>72.5</x:v>
      </x:c>
      <x:c r="H12" s="21" t="n">
        <x:f>SUMIFS('Monthly TB'!K$6:K$45,'Monthly TB'!$A$6:$A$45,5020)</x:f>
        <x:v>77.5</x:v>
      </x:c>
      <x:c r="I12" s="21" t="n">
        <x:f>SUMIFS('Monthly TB'!L$6:L$45,'Monthly TB'!$A$6:$A$45,5020)</x:f>
        <x:v>82.5</x:v>
      </x:c>
      <x:c r="J12" s="21" t="n">
        <x:f>SUMIFS('Monthly TB'!M$6:M$45,'Monthly TB'!$A$6:$A$45,5020)</x:f>
        <x:v>80</x:v>
      </x:c>
      <x:c r="K12" s="21" t="n">
        <x:f>SUMIFS('Monthly TB'!N$6:N$45,'Monthly TB'!$A$6:$A$45,5020)</x:f>
        <x:v>77.5</x:v>
      </x:c>
      <x:c r="L12" s="21" t="n">
        <x:f>SUMIFS('Monthly TB'!O$6:O$45,'Monthly TB'!$A$6:$A$45,5020)</x:f>
        <x:v>75</x:v>
      </x:c>
      <x:c r="M12" s="21" t="n">
        <x:f>SUMIFS('Monthly TB'!P$6:P$45,'Monthly TB'!$A$6:$A$45,5020)</x:f>
        <x:v>77.5</x:v>
      </x:c>
      <x:c r="N12" s="21" t="n">
        <x:f>SUMIFS('Monthly TB'!Q$6:Q$45,'Monthly TB'!$A$6:$A$45,5020)</x:f>
        <x:v>85</x:v>
      </x:c>
      <x:c r="O12" s="21" t="n">
        <x:f>SUMIFS('Monthly TB'!R$6:R$45,'Monthly TB'!$A$6:$A$45,5020)</x:f>
        <x:v>82.5</x:v>
      </x:c>
    </x:row>
    <x:row r="13" ht="21" customHeight="1">
      <x:c r="A13" s="2" t="str">
        <x:v>Subcontractor costs</x:v>
      </x:c>
      <x:c r="B13" s="21" t="n">
        <x:f>SUM(D13:O13)</x:f>
        <x:v>540</x:v>
      </x:c>
      <x:c r="C13" s="23"/>
      <x:c r="D13" s="21" t="n">
        <x:f>SUMIFS('Monthly TB'!G$6:G$45,'Monthly TB'!$A$6:$A$45,5030)</x:f>
        <x:v>36</x:v>
      </x:c>
      <x:c r="E13" s="21" t="n">
        <x:f>SUMIFS('Monthly TB'!H$6:H$45,'Monthly TB'!$A$6:$A$45,5030)</x:f>
        <x:v>37.5</x:v>
      </x:c>
      <x:c r="F13" s="21" t="n">
        <x:f>SUMIFS('Monthly TB'!I$6:I$45,'Monthly TB'!$A$6:$A$45,5030)</x:f>
        <x:v>40.5</x:v>
      </x:c>
      <x:c r="G13" s="21" t="n">
        <x:f>SUMIFS('Monthly TB'!J$6:J$45,'Monthly TB'!$A$6:$A$45,5030)</x:f>
        <x:v>43.5</x:v>
      </x:c>
      <x:c r="H13" s="21" t="n">
        <x:f>SUMIFS('Monthly TB'!K$6:K$45,'Monthly TB'!$A$6:$A$45,5030)</x:f>
        <x:v>46.5</x:v>
      </x:c>
      <x:c r="I13" s="21" t="n">
        <x:f>SUMIFS('Monthly TB'!L$6:L$45,'Monthly TB'!$A$6:$A$45,5030)</x:f>
        <x:v>49.5</x:v>
      </x:c>
      <x:c r="J13" s="21" t="n">
        <x:f>SUMIFS('Monthly TB'!M$6:M$45,'Monthly TB'!$A$6:$A$45,5030)</x:f>
        <x:v>48</x:v>
      </x:c>
      <x:c r="K13" s="21" t="n">
        <x:f>SUMIFS('Monthly TB'!N$6:N$45,'Monthly TB'!$A$6:$A$45,5030)</x:f>
        <x:v>46.5</x:v>
      </x:c>
      <x:c r="L13" s="21" t="n">
        <x:f>SUMIFS('Monthly TB'!O$6:O$45,'Monthly TB'!$A$6:$A$45,5030)</x:f>
        <x:v>45</x:v>
      </x:c>
      <x:c r="M13" s="21" t="n">
        <x:f>SUMIFS('Monthly TB'!P$6:P$45,'Monthly TB'!$A$6:$A$45,5030)</x:f>
        <x:v>46.5</x:v>
      </x:c>
      <x:c r="N13" s="21" t="n">
        <x:f>SUMIFS('Monthly TB'!Q$6:Q$45,'Monthly TB'!$A$6:$A$45,5030)</x:f>
        <x:v>51</x:v>
      </x:c>
      <x:c r="O13" s="21" t="n">
        <x:f>SUMIFS('Monthly TB'!R$6:R$45,'Monthly TB'!$A$6:$A$45,5030)</x:f>
        <x:v>49.5</x:v>
      </x:c>
    </x:row>
    <x:row r="14" ht="21" customHeight="1">
      <x:c r="A14" s="14" t="str">
        <x:v>Total cost of services</x:v>
      </x:c>
      <x:c r="B14" s="28" t="n">
        <x:f>SUM(D14:O14)</x:f>
        <x:v>10800</x:v>
      </x:c>
      <x:c r="C14" s="29"/>
      <x:c r="D14" s="28" t="n">
        <x:f>SUM(D10:D13)</x:f>
        <x:v>720</x:v>
      </x:c>
      <x:c r="E14" s="28" t="n">
        <x:f>SUM(E10:E13)</x:f>
        <x:v>750</x:v>
      </x:c>
      <x:c r="F14" s="28" t="n">
        <x:f>SUM(F10:F13)</x:f>
        <x:v>810</x:v>
      </x:c>
      <x:c r="G14" s="28" t="n">
        <x:f>SUM(G10:G13)</x:f>
        <x:v>870</x:v>
      </x:c>
      <x:c r="H14" s="28" t="n">
        <x:f>SUM(H10:H13)</x:f>
        <x:v>930</x:v>
      </x:c>
      <x:c r="I14" s="28" t="n">
        <x:f>SUM(I10:I13)</x:f>
        <x:v>990</x:v>
      </x:c>
      <x:c r="J14" s="28" t="n">
        <x:f>SUM(J10:J13)</x:f>
        <x:v>960</x:v>
      </x:c>
      <x:c r="K14" s="28" t="n">
        <x:f>SUM(K10:K13)</x:f>
        <x:v>930</x:v>
      </x:c>
      <x:c r="L14" s="28" t="n">
        <x:f>SUM(L10:L13)</x:f>
        <x:v>900</x:v>
      </x:c>
      <x:c r="M14" s="28" t="n">
        <x:f>SUM(M10:M13)</x:f>
        <x:v>930</x:v>
      </x:c>
      <x:c r="N14" s="28" t="n">
        <x:f>SUM(N10:N13)</x:f>
        <x:v>1020</x:v>
      </x:c>
      <x:c r="O14" s="28" t="n">
        <x:f>SUM(O10:O13)</x:f>
        <x:v>990</x:v>
      </x:c>
    </x:row>
    <x:row r="15" ht="21" customHeight="1">
      <x:c r="A15" s="14" t="str">
        <x:v>Gross profit</x:v>
      </x:c>
      <x:c r="B15" s="28" t="n">
        <x:f>SUM(D15:O15)</x:f>
        <x:v>7200</x:v>
      </x:c>
      <x:c r="C15" s="29"/>
      <x:c r="D15" s="28" t="n">
        <x:f>D8-D14</x:f>
        <x:v>480</x:v>
      </x:c>
      <x:c r="E15" s="28" t="n">
        <x:f>E8-E14</x:f>
        <x:v>500</x:v>
      </x:c>
      <x:c r="F15" s="28" t="n">
        <x:f>F8-F14</x:f>
        <x:v>540</x:v>
      </x:c>
      <x:c r="G15" s="28" t="n">
        <x:f>G8-G14</x:f>
        <x:v>580</x:v>
      </x:c>
      <x:c r="H15" s="28" t="n">
        <x:f>H8-H14</x:f>
        <x:v>620</x:v>
      </x:c>
      <x:c r="I15" s="28" t="n">
        <x:f>I8-I14</x:f>
        <x:v>660</x:v>
      </x:c>
      <x:c r="J15" s="28" t="n">
        <x:f>J8-J14</x:f>
        <x:v>640</x:v>
      </x:c>
      <x:c r="K15" s="28" t="n">
        <x:f>K8-K14</x:f>
        <x:v>620</x:v>
      </x:c>
      <x:c r="L15" s="28" t="n">
        <x:f>L8-L14</x:f>
        <x:v>600</x:v>
      </x:c>
      <x:c r="M15" s="28" t="n">
        <x:f>M8-M14</x:f>
        <x:v>620</x:v>
      </x:c>
      <x:c r="N15" s="28" t="n">
        <x:f>N8-N14</x:f>
        <x:v>680</x:v>
      </x:c>
      <x:c r="O15" s="28" t="n">
        <x:f>O8-O14</x:f>
        <x:v>660</x:v>
      </x:c>
    </x:row>
    <x:row r="16" ht="21" customHeight="1">
      <x:c r="A16" s="2"/>
      <x:c r="B16" s="21"/>
      <x:c r="C16" s="23"/>
      <x:c r="D16" s="21"/>
      <x:c r="E16" s="21"/>
      <x:c r="F16" s="21"/>
      <x:c r="G16" s="21"/>
      <x:c r="H16" s="21"/>
      <x:c r="I16" s="21"/>
      <x:c r="J16" s="21"/>
      <x:c r="K16" s="21"/>
      <x:c r="L16" s="21"/>
      <x:c r="M16" s="21"/>
      <x:c r="N16" s="21"/>
      <x:c r="O16" s="21"/>
    </x:row>
    <x:row r="17" ht="21" customHeight="1">
      <x:c r="A17" s="2" t="str">
        <x:v>Administrative salaries</x:v>
      </x:c>
      <x:c r="B17" s="21" t="n">
        <x:f>SUM(D17:O17)</x:f>
        <x:v>1200</x:v>
      </x:c>
      <x:c r="C17" s="23"/>
      <x:c r="D17" s="21" t="n">
        <x:f>SUMIFS('Monthly TB'!G$6:G$45,'Monthly TB'!$A$6:$A$45,6100)</x:f>
        <x:v>100</x:v>
      </x:c>
      <x:c r="E17" s="21" t="n">
        <x:f>SUMIFS('Monthly TB'!H$6:H$45,'Monthly TB'!$A$6:$A$45,6100)</x:f>
        <x:v>100</x:v>
      </x:c>
      <x:c r="F17" s="21" t="n">
        <x:f>SUMIFS('Monthly TB'!I$6:I$45,'Monthly TB'!$A$6:$A$45,6100)</x:f>
        <x:v>100</x:v>
      </x:c>
      <x:c r="G17" s="21" t="n">
        <x:f>SUMIFS('Monthly TB'!J$6:J$45,'Monthly TB'!$A$6:$A$45,6100)</x:f>
        <x:v>100</x:v>
      </x:c>
      <x:c r="H17" s="21" t="n">
        <x:f>SUMIFS('Monthly TB'!K$6:K$45,'Monthly TB'!$A$6:$A$45,6100)</x:f>
        <x:v>100</x:v>
      </x:c>
      <x:c r="I17" s="21" t="n">
        <x:f>SUMIFS('Monthly TB'!L$6:L$45,'Monthly TB'!$A$6:$A$45,6100)</x:f>
        <x:v>100</x:v>
      </x:c>
      <x:c r="J17" s="21" t="n">
        <x:f>SUMIFS('Monthly TB'!M$6:M$45,'Monthly TB'!$A$6:$A$45,6100)</x:f>
        <x:v>100</x:v>
      </x:c>
      <x:c r="K17" s="21" t="n">
        <x:f>SUMIFS('Monthly TB'!N$6:N$45,'Monthly TB'!$A$6:$A$45,6100)</x:f>
        <x:v>100</x:v>
      </x:c>
      <x:c r="L17" s="21" t="n">
        <x:f>SUMIFS('Monthly TB'!O$6:O$45,'Monthly TB'!$A$6:$A$45,6100)</x:f>
        <x:v>100</x:v>
      </x:c>
      <x:c r="M17" s="21" t="n">
        <x:f>SUMIFS('Monthly TB'!P$6:P$45,'Monthly TB'!$A$6:$A$45,6100)</x:f>
        <x:v>100</x:v>
      </x:c>
      <x:c r="N17" s="21" t="n">
        <x:f>SUMIFS('Monthly TB'!Q$6:Q$45,'Monthly TB'!$A$6:$A$45,6100)</x:f>
        <x:v>100</x:v>
      </x:c>
      <x:c r="O17" s="21" t="n">
        <x:f>SUMIFS('Monthly TB'!R$6:R$45,'Monthly TB'!$A$6:$A$45,6100)</x:f>
        <x:v>100</x:v>
      </x:c>
    </x:row>
    <x:row r="18" ht="21" customHeight="1">
      <x:c r="A18" s="2" t="str">
        <x:v>Owner salary</x:v>
      </x:c>
      <x:c r="B18" s="21" t="n">
        <x:f>SUM(D18:O18)</x:f>
        <x:v>350</x:v>
      </x:c>
      <x:c r="C18" s="23"/>
      <x:c r="D18" s="21" t="n">
        <x:f>SUMIFS('Monthly TB'!G$6:G$45,'Monthly TB'!$A$6:$A$45,6115)</x:f>
        <x:v>29.167</x:v>
      </x:c>
      <x:c r="E18" s="21" t="n">
        <x:f>SUMIFS('Monthly TB'!H$6:H$45,'Monthly TB'!$A$6:$A$45,6115)</x:f>
        <x:v>29.167</x:v>
      </x:c>
      <x:c r="F18" s="21" t="n">
        <x:f>SUMIFS('Monthly TB'!I$6:I$45,'Monthly TB'!$A$6:$A$45,6115)</x:f>
        <x:v>29.167</x:v>
      </x:c>
      <x:c r="G18" s="21" t="n">
        <x:f>SUMIFS('Monthly TB'!J$6:J$45,'Monthly TB'!$A$6:$A$45,6115)</x:f>
        <x:v>29.167</x:v>
      </x:c>
      <x:c r="H18" s="21" t="n">
        <x:f>SUMIFS('Monthly TB'!K$6:K$45,'Monthly TB'!$A$6:$A$45,6115)</x:f>
        <x:v>29.167</x:v>
      </x:c>
      <x:c r="I18" s="21" t="n">
        <x:f>SUMIFS('Monthly TB'!L$6:L$45,'Monthly TB'!$A$6:$A$45,6115)</x:f>
        <x:v>29.167</x:v>
      </x:c>
      <x:c r="J18" s="21" t="n">
        <x:f>SUMIFS('Monthly TB'!M$6:M$45,'Monthly TB'!$A$6:$A$45,6115)</x:f>
        <x:v>29.167</x:v>
      </x:c>
      <x:c r="K18" s="21" t="n">
        <x:f>SUMIFS('Monthly TB'!N$6:N$45,'Monthly TB'!$A$6:$A$45,6115)</x:f>
        <x:v>29.167</x:v>
      </x:c>
      <x:c r="L18" s="21" t="n">
        <x:f>SUMIFS('Monthly TB'!O$6:O$45,'Monthly TB'!$A$6:$A$45,6115)</x:f>
        <x:v>29.16700000000003</x:v>
      </x:c>
      <x:c r="M18" s="21" t="n">
        <x:f>SUMIFS('Monthly TB'!P$6:P$45,'Monthly TB'!$A$6:$A$45,6115)</x:f>
        <x:v>29.16700000000003</x:v>
      </x:c>
      <x:c r="N18" s="21" t="n">
        <x:f>SUMIFS('Monthly TB'!Q$6:Q$45,'Monthly TB'!$A$6:$A$45,6115)</x:f>
        <x:v>29.16700000000003</x:v>
      </x:c>
      <x:c r="O18" s="21" t="n">
        <x:f>SUMIFS('Monthly TB'!R$6:R$45,'Monthly TB'!$A$6:$A$45,6115)</x:f>
        <x:v>29.162999999999897</x:v>
      </x:c>
    </x:row>
    <x:row r="19" ht="21" customHeight="1">
      <x:c r="A19" s="2" t="str">
        <x:v>Owner bonus</x:v>
      </x:c>
      <x:c r="B19" s="21" t="n">
        <x:f>SUM(D19:O19)</x:f>
        <x:v>40</x:v>
      </x:c>
      <x:c r="C19" s="23"/>
      <x:c r="D19" s="21" t="n">
        <x:f>SUMIFS('Monthly TB'!G$6:G$45,'Monthly TB'!$A$6:$A$45,6116)</x:f>
        <x:v>3.333</x:v>
      </x:c>
      <x:c r="E19" s="21" t="n">
        <x:f>SUMIFS('Monthly TB'!H$6:H$45,'Monthly TB'!$A$6:$A$45,6116)</x:f>
        <x:v>3.333</x:v>
      </x:c>
      <x:c r="F19" s="21" t="n">
        <x:f>SUMIFS('Monthly TB'!I$6:I$45,'Monthly TB'!$A$6:$A$45,6116)</x:f>
        <x:v>3.333</x:v>
      </x:c>
      <x:c r="G19" s="21" t="n">
        <x:f>SUMIFS('Monthly TB'!J$6:J$45,'Monthly TB'!$A$6:$A$45,6116)</x:f>
        <x:v>3.333</x:v>
      </x:c>
      <x:c r="H19" s="21" t="n">
        <x:f>SUMIFS('Monthly TB'!K$6:K$45,'Monthly TB'!$A$6:$A$45,6116)</x:f>
        <x:v>3.3329999999999984</x:v>
      </x:c>
      <x:c r="I19" s="21" t="n">
        <x:f>SUMIFS('Monthly TB'!L$6:L$45,'Monthly TB'!$A$6:$A$45,6116)</x:f>
        <x:v>3.3329999999999984</x:v>
      </x:c>
      <x:c r="J19" s="21" t="n">
        <x:f>SUMIFS('Monthly TB'!M$6:M$45,'Monthly TB'!$A$6:$A$45,6116)</x:f>
        <x:v>3.3329999999999984</x:v>
      </x:c>
      <x:c r="K19" s="21" t="n">
        <x:f>SUMIFS('Monthly TB'!N$6:N$45,'Monthly TB'!$A$6:$A$45,6116)</x:f>
        <x:v>3.3329999999999984</x:v>
      </x:c>
      <x:c r="L19" s="21" t="n">
        <x:f>SUMIFS('Monthly TB'!O$6:O$45,'Monthly TB'!$A$6:$A$45,6116)</x:f>
        <x:v>3.3329999999999984</x:v>
      </x:c>
      <x:c r="M19" s="21" t="n">
        <x:f>SUMIFS('Monthly TB'!P$6:P$45,'Monthly TB'!$A$6:$A$45,6116)</x:f>
        <x:v>3.3329999999999984</x:v>
      </x:c>
      <x:c r="N19" s="21" t="n">
        <x:f>SUMIFS('Monthly TB'!Q$6:Q$45,'Monthly TB'!$A$6:$A$45,6116)</x:f>
        <x:v>3.3329999999999984</x:v>
      </x:c>
      <x:c r="O19" s="21" t="n">
        <x:f>SUMIFS('Monthly TB'!R$6:R$45,'Monthly TB'!$A$6:$A$45,6116)</x:f>
        <x:v>3.3370000000000104</x:v>
      </x:c>
    </x:row>
    <x:row r="20" ht="21" customHeight="1">
      <x:c r="A20" s="2" t="str">
        <x:v>Owner benefits</x:v>
      </x:c>
      <x:c r="B20" s="21" t="n">
        <x:f>SUM(D20:O20)</x:f>
        <x:v>35</x:v>
      </x:c>
      <x:c r="C20" s="23"/>
      <x:c r="D20" s="21" t="n">
        <x:f>SUMIFS('Monthly TB'!G$6:G$45,'Monthly TB'!$A$6:$A$45,6117)</x:f>
        <x:v>2.917</x:v>
      </x:c>
      <x:c r="E20" s="21" t="n">
        <x:f>SUMIFS('Monthly TB'!H$6:H$45,'Monthly TB'!$A$6:$A$45,6117)</x:f>
        <x:v>2.917</x:v>
      </x:c>
      <x:c r="F20" s="21" t="n">
        <x:f>SUMIFS('Monthly TB'!I$6:I$45,'Monthly TB'!$A$6:$A$45,6117)</x:f>
        <x:v>2.917</x:v>
      </x:c>
      <x:c r="G20" s="21" t="n">
        <x:f>SUMIFS('Monthly TB'!J$6:J$45,'Monthly TB'!$A$6:$A$45,6117)</x:f>
        <x:v>2.917</x:v>
      </x:c>
      <x:c r="H20" s="21" t="n">
        <x:f>SUMIFS('Monthly TB'!K$6:K$45,'Monthly TB'!$A$6:$A$45,6117)</x:f>
        <x:v>2.917</x:v>
      </x:c>
      <x:c r="I20" s="21" t="n">
        <x:f>SUMIFS('Monthly TB'!L$6:L$45,'Monthly TB'!$A$6:$A$45,6117)</x:f>
        <x:v>2.917</x:v>
      </x:c>
      <x:c r="J20" s="21" t="n">
        <x:f>SUMIFS('Monthly TB'!M$6:M$45,'Monthly TB'!$A$6:$A$45,6117)</x:f>
        <x:v>2.916999999999998</x:v>
      </x:c>
      <x:c r="K20" s="21" t="n">
        <x:f>SUMIFS('Monthly TB'!N$6:N$45,'Monthly TB'!$A$6:$A$45,6117)</x:f>
        <x:v>2.9170000000000016</x:v>
      </x:c>
      <x:c r="L20" s="21" t="n">
        <x:f>SUMIFS('Monthly TB'!O$6:O$45,'Monthly TB'!$A$6:$A$45,6117)</x:f>
        <x:v>2.9170000000000016</x:v>
      </x:c>
      <x:c r="M20" s="21" t="n">
        <x:f>SUMIFS('Monthly TB'!P$6:P$45,'Monthly TB'!$A$6:$A$45,6117)</x:f>
        <x:v>2.9170000000000016</x:v>
      </x:c>
      <x:c r="N20" s="21" t="n">
        <x:f>SUMIFS('Monthly TB'!Q$6:Q$45,'Monthly TB'!$A$6:$A$45,6117)</x:f>
        <x:v>2.9170000000000016</x:v>
      </x:c>
      <x:c r="O20" s="21" t="n">
        <x:f>SUMIFS('Monthly TB'!R$6:R$45,'Monthly TB'!$A$6:$A$45,6117)</x:f>
        <x:v>2.9129999999999967</x:v>
      </x:c>
    </x:row>
    <x:row r="21" ht="21" customHeight="1">
      <x:c r="A21" s="2" t="str">
        <x:v>Sales and marketing</x:v>
      </x:c>
      <x:c r="B21" s="21" t="n">
        <x:f>SUM(D21:O21)</x:f>
        <x:v>300</x:v>
      </x:c>
      <x:c r="C21" s="23"/>
      <x:c r="D21" s="21" t="n">
        <x:f>SUMIFS('Monthly TB'!G$6:G$45,'Monthly TB'!$A$6:$A$45,6120)</x:f>
        <x:v>25</x:v>
      </x:c>
      <x:c r="E21" s="21" t="n">
        <x:f>SUMIFS('Monthly TB'!H$6:H$45,'Monthly TB'!$A$6:$A$45,6120)</x:f>
        <x:v>25</x:v>
      </x:c>
      <x:c r="F21" s="21" t="n">
        <x:f>SUMIFS('Monthly TB'!I$6:I$45,'Monthly TB'!$A$6:$A$45,6120)</x:f>
        <x:v>25</x:v>
      </x:c>
      <x:c r="G21" s="21" t="n">
        <x:f>SUMIFS('Monthly TB'!J$6:J$45,'Monthly TB'!$A$6:$A$45,6120)</x:f>
        <x:v>25</x:v>
      </x:c>
      <x:c r="H21" s="21" t="n">
        <x:f>SUMIFS('Monthly TB'!K$6:K$45,'Monthly TB'!$A$6:$A$45,6120)</x:f>
        <x:v>25</x:v>
      </x:c>
      <x:c r="I21" s="21" t="n">
        <x:f>SUMIFS('Monthly TB'!L$6:L$45,'Monthly TB'!$A$6:$A$45,6120)</x:f>
        <x:v>25</x:v>
      </x:c>
      <x:c r="J21" s="21" t="n">
        <x:f>SUMIFS('Monthly TB'!M$6:M$45,'Monthly TB'!$A$6:$A$45,6120)</x:f>
        <x:v>25</x:v>
      </x:c>
      <x:c r="K21" s="21" t="n">
        <x:f>SUMIFS('Monthly TB'!N$6:N$45,'Monthly TB'!$A$6:$A$45,6120)</x:f>
        <x:v>25</x:v>
      </x:c>
      <x:c r="L21" s="21" t="n">
        <x:f>SUMIFS('Monthly TB'!O$6:O$45,'Monthly TB'!$A$6:$A$45,6120)</x:f>
        <x:v>25</x:v>
      </x:c>
      <x:c r="M21" s="21" t="n">
        <x:f>SUMIFS('Monthly TB'!P$6:P$45,'Monthly TB'!$A$6:$A$45,6120)</x:f>
        <x:v>25</x:v>
      </x:c>
      <x:c r="N21" s="21" t="n">
        <x:f>SUMIFS('Monthly TB'!Q$6:Q$45,'Monthly TB'!$A$6:$A$45,6120)</x:f>
        <x:v>25</x:v>
      </x:c>
      <x:c r="O21" s="21" t="n">
        <x:f>SUMIFS('Monthly TB'!R$6:R$45,'Monthly TB'!$A$6:$A$45,6120)</x:f>
        <x:v>25</x:v>
      </x:c>
    </x:row>
    <x:row r="22" ht="21" customHeight="1">
      <x:c r="A22" s="2" t="str">
        <x:v>Employee bonus expense</x:v>
      </x:c>
      <x:c r="B22" s="21" t="n">
        <x:f>SUM(D22:O22)</x:f>
        <x:v>180</x:v>
      </x:c>
      <x:c r="C22" s="23"/>
      <x:c r="D22" s="21" t="n">
        <x:f>SUMIFS('Monthly TB'!G$6:G$45,'Monthly TB'!$A$6:$A$45,6125)</x:f>
        <x:v>15</x:v>
      </x:c>
      <x:c r="E22" s="21" t="n">
        <x:f>SUMIFS('Monthly TB'!H$6:H$45,'Monthly TB'!$A$6:$A$45,6125)</x:f>
        <x:v>15</x:v>
      </x:c>
      <x:c r="F22" s="21" t="n">
        <x:f>SUMIFS('Monthly TB'!I$6:I$45,'Monthly TB'!$A$6:$A$45,6125)</x:f>
        <x:v>15</x:v>
      </x:c>
      <x:c r="G22" s="21" t="n">
        <x:f>SUMIFS('Monthly TB'!J$6:J$45,'Monthly TB'!$A$6:$A$45,6125)</x:f>
        <x:v>15</x:v>
      </x:c>
      <x:c r="H22" s="21" t="n">
        <x:f>SUMIFS('Monthly TB'!K$6:K$45,'Monthly TB'!$A$6:$A$45,6125)</x:f>
        <x:v>15</x:v>
      </x:c>
      <x:c r="I22" s="21" t="n">
        <x:f>SUMIFS('Monthly TB'!L$6:L$45,'Monthly TB'!$A$6:$A$45,6125)</x:f>
        <x:v>15</x:v>
      </x:c>
      <x:c r="J22" s="21" t="n">
        <x:f>SUMIFS('Monthly TB'!M$6:M$45,'Monthly TB'!$A$6:$A$45,6125)</x:f>
        <x:v>15</x:v>
      </x:c>
      <x:c r="K22" s="21" t="n">
        <x:f>SUMIFS('Monthly TB'!N$6:N$45,'Monthly TB'!$A$6:$A$45,6125)</x:f>
        <x:v>15</x:v>
      </x:c>
      <x:c r="L22" s="21" t="n">
        <x:f>SUMIFS('Monthly TB'!O$6:O$45,'Monthly TB'!$A$6:$A$45,6125)</x:f>
        <x:v>15</x:v>
      </x:c>
      <x:c r="M22" s="21" t="n">
        <x:f>SUMIFS('Monthly TB'!P$6:P$45,'Monthly TB'!$A$6:$A$45,6125)</x:f>
        <x:v>15</x:v>
      </x:c>
      <x:c r="N22" s="21" t="n">
        <x:f>SUMIFS('Monthly TB'!Q$6:Q$45,'Monthly TB'!$A$6:$A$45,6125)</x:f>
        <x:v>15</x:v>
      </x:c>
      <x:c r="O22" s="21" t="n">
        <x:f>SUMIFS('Monthly TB'!R$6:R$45,'Monthly TB'!$A$6:$A$45,6125)</x:f>
        <x:v>15</x:v>
      </x:c>
    </x:row>
    <x:row r="23" ht="21" customHeight="1">
      <x:c r="A23" s="2" t="str">
        <x:v>Insurance</x:v>
      </x:c>
      <x:c r="B23" s="21" t="n">
        <x:f>SUM(D23:O23)</x:f>
        <x:v>350</x:v>
      </x:c>
      <x:c r="C23" s="23"/>
      <x:c r="D23" s="21" t="n">
        <x:f>SUMIFS('Monthly TB'!G$6:G$45,'Monthly TB'!$A$6:$A$45,6200)</x:f>
        <x:v>29.167</x:v>
      </x:c>
      <x:c r="E23" s="21" t="n">
        <x:f>SUMIFS('Monthly TB'!H$6:H$45,'Monthly TB'!$A$6:$A$45,6200)</x:f>
        <x:v>29.165999999999997</x:v>
      </x:c>
      <x:c r="F23" s="21" t="n">
        <x:f>SUMIFS('Monthly TB'!I$6:I$45,'Monthly TB'!$A$6:$A$45,6200)</x:f>
        <x:v>29.167</x:v>
      </x:c>
      <x:c r="G23" s="21" t="n">
        <x:f>SUMIFS('Monthly TB'!J$6:J$45,'Monthly TB'!$A$6:$A$45,6200)</x:f>
        <x:v>29.167</x:v>
      </x:c>
      <x:c r="H23" s="21" t="n">
        <x:f>SUMIFS('Monthly TB'!K$6:K$45,'Monthly TB'!$A$6:$A$45,6200)</x:f>
        <x:v>29.165999999999997</x:v>
      </x:c>
      <x:c r="I23" s="21" t="n">
        <x:f>SUMIFS('Monthly TB'!L$6:L$45,'Monthly TB'!$A$6:$A$45,6200)</x:f>
        <x:v>29.167</x:v>
      </x:c>
      <x:c r="J23" s="21" t="n">
        <x:f>SUMIFS('Monthly TB'!M$6:M$45,'Monthly TB'!$A$6:$A$45,6200)</x:f>
        <x:v>29.167</x:v>
      </x:c>
      <x:c r="K23" s="21" t="n">
        <x:f>SUMIFS('Monthly TB'!N$6:N$45,'Monthly TB'!$A$6:$A$45,6200)</x:f>
        <x:v>29.165999999999997</x:v>
      </x:c>
      <x:c r="L23" s="21" t="n">
        <x:f>SUMIFS('Monthly TB'!O$6:O$45,'Monthly TB'!$A$6:$A$45,6200)</x:f>
        <x:v>29.167</x:v>
      </x:c>
      <x:c r="M23" s="21" t="n">
        <x:f>SUMIFS('Monthly TB'!P$6:P$45,'Monthly TB'!$A$6:$A$45,6200)</x:f>
        <x:v>29.166999999999973</x:v>
      </x:c>
      <x:c r="N23" s="21" t="n">
        <x:f>SUMIFS('Monthly TB'!Q$6:Q$45,'Monthly TB'!$A$6:$A$45,6200)</x:f>
        <x:v>29.166000000000054</x:v>
      </x:c>
      <x:c r="O23" s="21" t="n">
        <x:f>SUMIFS('Monthly TB'!R$6:R$45,'Monthly TB'!$A$6:$A$45,6200)</x:f>
        <x:v>29.166999999999973</x:v>
      </x:c>
    </x:row>
    <x:row r="24" ht="21" customHeight="1">
      <x:c r="A24" s="2" t="str">
        <x:v>Related-party base rent</x:v>
      </x:c>
      <x:c r="B24" s="21" t="n">
        <x:f>SUM(D24:O24)</x:f>
        <x:v>120</x:v>
      </x:c>
      <x:c r="C24" s="23"/>
      <x:c r="D24" s="21" t="n">
        <x:f>SUMIFS('Monthly TB'!G$6:G$45,'Monthly TB'!$A$6:$A$45,6210)</x:f>
        <x:v>10</x:v>
      </x:c>
      <x:c r="E24" s="21" t="n">
        <x:f>SUMIFS('Monthly TB'!H$6:H$45,'Monthly TB'!$A$6:$A$45,6210)</x:f>
        <x:v>10</x:v>
      </x:c>
      <x:c r="F24" s="21" t="n">
        <x:f>SUMIFS('Monthly TB'!I$6:I$45,'Monthly TB'!$A$6:$A$45,6210)</x:f>
        <x:v>10</x:v>
      </x:c>
      <x:c r="G24" s="21" t="n">
        <x:f>SUMIFS('Monthly TB'!J$6:J$45,'Monthly TB'!$A$6:$A$45,6210)</x:f>
        <x:v>10</x:v>
      </x:c>
      <x:c r="H24" s="21" t="n">
        <x:f>SUMIFS('Monthly TB'!K$6:K$45,'Monthly TB'!$A$6:$A$45,6210)</x:f>
        <x:v>10</x:v>
      </x:c>
      <x:c r="I24" s="21" t="n">
        <x:f>SUMIFS('Monthly TB'!L$6:L$45,'Monthly TB'!$A$6:$A$45,6210)</x:f>
        <x:v>10</x:v>
      </x:c>
      <x:c r="J24" s="21" t="n">
        <x:f>SUMIFS('Monthly TB'!M$6:M$45,'Monthly TB'!$A$6:$A$45,6210)</x:f>
        <x:v>10</x:v>
      </x:c>
      <x:c r="K24" s="21" t="n">
        <x:f>SUMIFS('Monthly TB'!N$6:N$45,'Monthly TB'!$A$6:$A$45,6210)</x:f>
        <x:v>10</x:v>
      </x:c>
      <x:c r="L24" s="21" t="n">
        <x:f>SUMIFS('Monthly TB'!O$6:O$45,'Monthly TB'!$A$6:$A$45,6210)</x:f>
        <x:v>10</x:v>
      </x:c>
      <x:c r="M24" s="21" t="n">
        <x:f>SUMIFS('Monthly TB'!P$6:P$45,'Monthly TB'!$A$6:$A$45,6210)</x:f>
        <x:v>10</x:v>
      </x:c>
      <x:c r="N24" s="21" t="n">
        <x:f>SUMIFS('Monthly TB'!Q$6:Q$45,'Monthly TB'!$A$6:$A$45,6210)</x:f>
        <x:v>10</x:v>
      </x:c>
      <x:c r="O24" s="21" t="n">
        <x:f>SUMIFS('Monthly TB'!R$6:R$45,'Monthly TB'!$A$6:$A$45,6210)</x:f>
        <x:v>10</x:v>
      </x:c>
    </x:row>
    <x:row r="25" ht="21" customHeight="1">
      <x:c r="A25" s="2" t="str">
        <x:v>Occupancy operating charges</x:v>
      </x:c>
      <x:c r="B25" s="21" t="n">
        <x:f>SUM(D25:O25)</x:f>
        <x:v>60</x:v>
      </x:c>
      <x:c r="C25" s="23"/>
      <x:c r="D25" s="21" t="n">
        <x:f>SUMIFS('Monthly TB'!G$6:G$45,'Monthly TB'!$A$6:$A$45,6215)</x:f>
        <x:v>5</x:v>
      </x:c>
      <x:c r="E25" s="21" t="n">
        <x:f>SUMIFS('Monthly TB'!H$6:H$45,'Monthly TB'!$A$6:$A$45,6215)</x:f>
        <x:v>5</x:v>
      </x:c>
      <x:c r="F25" s="21" t="n">
        <x:f>SUMIFS('Monthly TB'!I$6:I$45,'Monthly TB'!$A$6:$A$45,6215)</x:f>
        <x:v>5</x:v>
      </x:c>
      <x:c r="G25" s="21" t="n">
        <x:f>SUMIFS('Monthly TB'!J$6:J$45,'Monthly TB'!$A$6:$A$45,6215)</x:f>
        <x:v>5</x:v>
      </x:c>
      <x:c r="H25" s="21" t="n">
        <x:f>SUMIFS('Monthly TB'!K$6:K$45,'Monthly TB'!$A$6:$A$45,6215)</x:f>
        <x:v>5</x:v>
      </x:c>
      <x:c r="I25" s="21" t="n">
        <x:f>SUMIFS('Monthly TB'!L$6:L$45,'Monthly TB'!$A$6:$A$45,6215)</x:f>
        <x:v>5</x:v>
      </x:c>
      <x:c r="J25" s="21" t="n">
        <x:f>SUMIFS('Monthly TB'!M$6:M$45,'Monthly TB'!$A$6:$A$45,6215)</x:f>
        <x:v>5</x:v>
      </x:c>
      <x:c r="K25" s="21" t="n">
        <x:f>SUMIFS('Monthly TB'!N$6:N$45,'Monthly TB'!$A$6:$A$45,6215)</x:f>
        <x:v>5</x:v>
      </x:c>
      <x:c r="L25" s="21" t="n">
        <x:f>SUMIFS('Monthly TB'!O$6:O$45,'Monthly TB'!$A$6:$A$45,6215)</x:f>
        <x:v>5</x:v>
      </x:c>
      <x:c r="M25" s="21" t="n">
        <x:f>SUMIFS('Monthly TB'!P$6:P$45,'Monthly TB'!$A$6:$A$45,6215)</x:f>
        <x:v>5</x:v>
      </x:c>
      <x:c r="N25" s="21" t="n">
        <x:f>SUMIFS('Monthly TB'!Q$6:Q$45,'Monthly TB'!$A$6:$A$45,6215)</x:f>
        <x:v>5</x:v>
      </x:c>
      <x:c r="O25" s="21" t="n">
        <x:f>SUMIFS('Monthly TB'!R$6:R$45,'Monthly TB'!$A$6:$A$45,6215)</x:f>
        <x:v>5</x:v>
      </x:c>
    </x:row>
    <x:row r="26" ht="21" customHeight="1">
      <x:c r="A26" s="2" t="str">
        <x:v>Vehicle and fuel</x:v>
      </x:c>
      <x:c r="B26" s="21" t="n">
        <x:f>SUM(D26:O26)</x:f>
        <x:v>450</x:v>
      </x:c>
      <x:c r="C26" s="23"/>
      <x:c r="D26" s="21" t="n">
        <x:f>SUMIFS('Monthly TB'!G$6:G$45,'Monthly TB'!$A$6:$A$45,6220)</x:f>
        <x:v>37.5</x:v>
      </x:c>
      <x:c r="E26" s="21" t="n">
        <x:f>SUMIFS('Monthly TB'!H$6:H$45,'Monthly TB'!$A$6:$A$45,6220)</x:f>
        <x:v>37.5</x:v>
      </x:c>
      <x:c r="F26" s="21" t="n">
        <x:f>SUMIFS('Monthly TB'!I$6:I$45,'Monthly TB'!$A$6:$A$45,6220)</x:f>
        <x:v>37.5</x:v>
      </x:c>
      <x:c r="G26" s="21" t="n">
        <x:f>SUMIFS('Monthly TB'!J$6:J$45,'Monthly TB'!$A$6:$A$45,6220)</x:f>
        <x:v>37.5</x:v>
      </x:c>
      <x:c r="H26" s="21" t="n">
        <x:f>SUMIFS('Monthly TB'!K$6:K$45,'Monthly TB'!$A$6:$A$45,6220)</x:f>
        <x:v>37.5</x:v>
      </x:c>
      <x:c r="I26" s="21" t="n">
        <x:f>SUMIFS('Monthly TB'!L$6:L$45,'Monthly TB'!$A$6:$A$45,6220)</x:f>
        <x:v>37.5</x:v>
      </x:c>
      <x:c r="J26" s="21" t="n">
        <x:f>SUMIFS('Monthly TB'!M$6:M$45,'Monthly TB'!$A$6:$A$45,6220)</x:f>
        <x:v>37.5</x:v>
      </x:c>
      <x:c r="K26" s="21" t="n">
        <x:f>SUMIFS('Monthly TB'!N$6:N$45,'Monthly TB'!$A$6:$A$45,6220)</x:f>
        <x:v>37.5</x:v>
      </x:c>
      <x:c r="L26" s="21" t="n">
        <x:f>SUMIFS('Monthly TB'!O$6:O$45,'Monthly TB'!$A$6:$A$45,6220)</x:f>
        <x:v>37.5</x:v>
      </x:c>
      <x:c r="M26" s="21" t="n">
        <x:f>SUMIFS('Monthly TB'!P$6:P$45,'Monthly TB'!$A$6:$A$45,6220)</x:f>
        <x:v>37.5</x:v>
      </x:c>
      <x:c r="N26" s="21" t="n">
        <x:f>SUMIFS('Monthly TB'!Q$6:Q$45,'Monthly TB'!$A$6:$A$45,6220)</x:f>
        <x:v>37.5</x:v>
      </x:c>
      <x:c r="O26" s="21" t="n">
        <x:f>SUMIFS('Monthly TB'!R$6:R$45,'Monthly TB'!$A$6:$A$45,6220)</x:f>
        <x:v>37.5</x:v>
      </x:c>
    </x:row>
    <x:row r="27" ht="21" customHeight="1">
      <x:c r="A27" s="2" t="str">
        <x:v>Professional fees</x:v>
      </x:c>
      <x:c r="B27" s="21" t="n">
        <x:f>SUM(D27:O27)</x:f>
        <x:v>250</x:v>
      </x:c>
      <x:c r="C27" s="23"/>
      <x:c r="D27" s="21" t="n">
        <x:f>SUMIFS('Monthly TB'!G$6:G$45,'Monthly TB'!$A$6:$A$45,6230)</x:f>
        <x:v>8.333</x:v>
      </x:c>
      <x:c r="E27" s="21" t="n">
        <x:f>SUMIFS('Monthly TB'!H$6:H$45,'Monthly TB'!$A$6:$A$45,6230)</x:f>
        <x:v>8.334000000000001</x:v>
      </x:c>
      <x:c r="F27" s="21" t="n">
        <x:f>SUMIFS('Monthly TB'!I$6:I$45,'Monthly TB'!$A$6:$A$45,6230)</x:f>
        <x:v>8.332999999999998</x:v>
      </x:c>
      <x:c r="G27" s="21" t="n">
        <x:f>SUMIFS('Monthly TB'!J$6:J$45,'Monthly TB'!$A$6:$A$45,6230)</x:f>
        <x:v>58.333</x:v>
      </x:c>
      <x:c r="H27" s="21" t="n">
        <x:f>SUMIFS('Monthly TB'!K$6:K$45,'Monthly TB'!$A$6:$A$45,6230)</x:f>
        <x:v>8.334000000000003</x:v>
      </x:c>
      <x:c r="I27" s="21" t="n">
        <x:f>SUMIFS('Monthly TB'!L$6:L$45,'Monthly TB'!$A$6:$A$45,6230)</x:f>
        <x:v>8.332999999999998</x:v>
      </x:c>
      <x:c r="J27" s="21" t="n">
        <x:f>SUMIFS('Monthly TB'!M$6:M$45,'Monthly TB'!$A$6:$A$45,6230)</x:f>
        <x:v>8.332999999999998</x:v>
      </x:c>
      <x:c r="K27" s="21" t="n">
        <x:f>SUMIFS('Monthly TB'!N$6:N$45,'Monthly TB'!$A$6:$A$45,6230)</x:f>
        <x:v>58.334</x:v>
      </x:c>
      <x:c r="L27" s="21" t="n">
        <x:f>SUMIFS('Monthly TB'!O$6:O$45,'Monthly TB'!$A$6:$A$45,6230)</x:f>
        <x:v>8.332999999999998</x:v>
      </x:c>
      <x:c r="M27" s="21" t="n">
        <x:f>SUMIFS('Monthly TB'!P$6:P$45,'Monthly TB'!$A$6:$A$45,6230)</x:f>
        <x:v>8.332999999999998</x:v>
      </x:c>
      <x:c r="N27" s="21" t="n">
        <x:f>SUMIFS('Monthly TB'!Q$6:Q$45,'Monthly TB'!$A$6:$A$45,6230)</x:f>
        <x:v>58.334</x:v>
      </x:c>
      <x:c r="O27" s="21" t="n">
        <x:f>SUMIFS('Monthly TB'!R$6:R$45,'Monthly TB'!$A$6:$A$45,6230)</x:f>
        <x:v>8.332999999999998</x:v>
      </x:c>
    </x:row>
    <x:row r="28" ht="21" customHeight="1">
      <x:c r="A28" s="2" t="str">
        <x:v>Software and office</x:v>
      </x:c>
      <x:c r="B28" s="21" t="n">
        <x:f>SUM(D28:O28)</x:f>
        <x:v>300</x:v>
      </x:c>
      <x:c r="C28" s="23"/>
      <x:c r="D28" s="21" t="n">
        <x:f>SUMIFS('Monthly TB'!G$6:G$45,'Monthly TB'!$A$6:$A$45,6240)</x:f>
        <x:v>25</x:v>
      </x:c>
      <x:c r="E28" s="21" t="n">
        <x:f>SUMIFS('Monthly TB'!H$6:H$45,'Monthly TB'!$A$6:$A$45,6240)</x:f>
        <x:v>25</x:v>
      </x:c>
      <x:c r="F28" s="21" t="n">
        <x:f>SUMIFS('Monthly TB'!I$6:I$45,'Monthly TB'!$A$6:$A$45,6240)</x:f>
        <x:v>25</x:v>
      </x:c>
      <x:c r="G28" s="21" t="n">
        <x:f>SUMIFS('Monthly TB'!J$6:J$45,'Monthly TB'!$A$6:$A$45,6240)</x:f>
        <x:v>25</x:v>
      </x:c>
      <x:c r="H28" s="21" t="n">
        <x:f>SUMIFS('Monthly TB'!K$6:K$45,'Monthly TB'!$A$6:$A$45,6240)</x:f>
        <x:v>25</x:v>
      </x:c>
      <x:c r="I28" s="21" t="n">
        <x:f>SUMIFS('Monthly TB'!L$6:L$45,'Monthly TB'!$A$6:$A$45,6240)</x:f>
        <x:v>25</x:v>
      </x:c>
      <x:c r="J28" s="21" t="n">
        <x:f>SUMIFS('Monthly TB'!M$6:M$45,'Monthly TB'!$A$6:$A$45,6240)</x:f>
        <x:v>25</x:v>
      </x:c>
      <x:c r="K28" s="21" t="n">
        <x:f>SUMIFS('Monthly TB'!N$6:N$45,'Monthly TB'!$A$6:$A$45,6240)</x:f>
        <x:v>25</x:v>
      </x:c>
      <x:c r="L28" s="21" t="n">
        <x:f>SUMIFS('Monthly TB'!O$6:O$45,'Monthly TB'!$A$6:$A$45,6240)</x:f>
        <x:v>25</x:v>
      </x:c>
      <x:c r="M28" s="21" t="n">
        <x:f>SUMIFS('Monthly TB'!P$6:P$45,'Monthly TB'!$A$6:$A$45,6240)</x:f>
        <x:v>25</x:v>
      </x:c>
      <x:c r="N28" s="21" t="n">
        <x:f>SUMIFS('Monthly TB'!Q$6:Q$45,'Monthly TB'!$A$6:$A$45,6240)</x:f>
        <x:v>25</x:v>
      </x:c>
      <x:c r="O28" s="21" t="n">
        <x:f>SUMIFS('Monthly TB'!R$6:R$45,'Monthly TB'!$A$6:$A$45,6240)</x:f>
        <x:v>25</x:v>
      </x:c>
    </x:row>
    <x:row r="29" ht="21" customHeight="1">
      <x:c r="A29" s="2" t="str">
        <x:v>Recruiting and training</x:v>
      </x:c>
      <x:c r="B29" s="21" t="n">
        <x:f>SUM(D29:O29)</x:f>
        <x:v>220</x:v>
      </x:c>
      <x:c r="C29" s="23"/>
      <x:c r="D29" s="21" t="n">
        <x:f>SUMIFS('Monthly TB'!G$6:G$45,'Monthly TB'!$A$6:$A$45,6250)</x:f>
        <x:v>18.333</x:v>
      </x:c>
      <x:c r="E29" s="21" t="n">
        <x:f>SUMIFS('Monthly TB'!H$6:H$45,'Monthly TB'!$A$6:$A$45,6250)</x:f>
        <x:v>18.334000000000003</x:v>
      </x:c>
      <x:c r="F29" s="21" t="n">
        <x:f>SUMIFS('Monthly TB'!I$6:I$45,'Monthly TB'!$A$6:$A$45,6250)</x:f>
        <x:v>18.333</x:v>
      </x:c>
      <x:c r="G29" s="21" t="n">
        <x:f>SUMIFS('Monthly TB'!J$6:J$45,'Monthly TB'!$A$6:$A$45,6250)</x:f>
        <x:v>18.333</x:v>
      </x:c>
      <x:c r="H29" s="21" t="n">
        <x:f>SUMIFS('Monthly TB'!K$6:K$45,'Monthly TB'!$A$6:$A$45,6250)</x:f>
        <x:v>18.334000000000003</x:v>
      </x:c>
      <x:c r="I29" s="21" t="n">
        <x:f>SUMIFS('Monthly TB'!L$6:L$45,'Monthly TB'!$A$6:$A$45,6250)</x:f>
        <x:v>18.333</x:v>
      </x:c>
      <x:c r="J29" s="21" t="n">
        <x:f>SUMIFS('Monthly TB'!M$6:M$45,'Monthly TB'!$A$6:$A$45,6250)</x:f>
        <x:v>18.333</x:v>
      </x:c>
      <x:c r="K29" s="21" t="n">
        <x:f>SUMIFS('Monthly TB'!N$6:N$45,'Monthly TB'!$A$6:$A$45,6250)</x:f>
        <x:v>18.334000000000003</x:v>
      </x:c>
      <x:c r="L29" s="21" t="n">
        <x:f>SUMIFS('Monthly TB'!O$6:O$45,'Monthly TB'!$A$6:$A$45,6250)</x:f>
        <x:v>18.333</x:v>
      </x:c>
      <x:c r="M29" s="21" t="n">
        <x:f>SUMIFS('Monthly TB'!P$6:P$45,'Monthly TB'!$A$6:$A$45,6250)</x:f>
        <x:v>18.333</x:v>
      </x:c>
      <x:c r="N29" s="21" t="n">
        <x:f>SUMIFS('Monthly TB'!Q$6:Q$45,'Monthly TB'!$A$6:$A$45,6250)</x:f>
        <x:v>18.334000000000003</x:v>
      </x:c>
      <x:c r="O29" s="21" t="n">
        <x:f>SUMIFS('Monthly TB'!R$6:R$45,'Monthly TB'!$A$6:$A$45,6250)</x:f>
        <x:v>18.333</x:v>
      </x:c>
    </x:row>
    <x:row r="30" ht="21" customHeight="1">
      <x:c r="A30" s="2" t="str">
        <x:v>Utilities and warehouse</x:v>
      </x:c>
      <x:c r="B30" s="21" t="n">
        <x:f>SUM(D30:O30)</x:f>
        <x:v>230</x:v>
      </x:c>
      <x:c r="C30" s="23"/>
      <x:c r="D30" s="21" t="n">
        <x:f>SUMIFS('Monthly TB'!G$6:G$45,'Monthly TB'!$A$6:$A$45,6260)</x:f>
        <x:v>19.167</x:v>
      </x:c>
      <x:c r="E30" s="21" t="n">
        <x:f>SUMIFS('Monthly TB'!H$6:H$45,'Monthly TB'!$A$6:$A$45,6260)</x:f>
        <x:v>19.165999999999997</x:v>
      </x:c>
      <x:c r="F30" s="21" t="n">
        <x:f>SUMIFS('Monthly TB'!I$6:I$45,'Monthly TB'!$A$6:$A$45,6260)</x:f>
        <x:v>19.167</x:v>
      </x:c>
      <x:c r="G30" s="21" t="n">
        <x:f>SUMIFS('Monthly TB'!J$6:J$45,'Monthly TB'!$A$6:$A$45,6260)</x:f>
        <x:v>19.167</x:v>
      </x:c>
      <x:c r="H30" s="21" t="n">
        <x:f>SUMIFS('Monthly TB'!K$6:K$45,'Monthly TB'!$A$6:$A$45,6260)</x:f>
        <x:v>19.165999999999997</x:v>
      </x:c>
      <x:c r="I30" s="21" t="n">
        <x:f>SUMIFS('Monthly TB'!L$6:L$45,'Monthly TB'!$A$6:$A$45,6260)</x:f>
        <x:v>19.167</x:v>
      </x:c>
      <x:c r="J30" s="21" t="n">
        <x:f>SUMIFS('Monthly TB'!M$6:M$45,'Monthly TB'!$A$6:$A$45,6260)</x:f>
        <x:v>19.167</x:v>
      </x:c>
      <x:c r="K30" s="21" t="n">
        <x:f>SUMIFS('Monthly TB'!N$6:N$45,'Monthly TB'!$A$6:$A$45,6260)</x:f>
        <x:v>19.165999999999997</x:v>
      </x:c>
      <x:c r="L30" s="21" t="n">
        <x:f>SUMIFS('Monthly TB'!O$6:O$45,'Monthly TB'!$A$6:$A$45,6260)</x:f>
        <x:v>19.167</x:v>
      </x:c>
      <x:c r="M30" s="21" t="n">
        <x:f>SUMIFS('Monthly TB'!P$6:P$45,'Monthly TB'!$A$6:$A$45,6260)</x:f>
        <x:v>19.167</x:v>
      </x:c>
      <x:c r="N30" s="21" t="n">
        <x:f>SUMIFS('Monthly TB'!Q$6:Q$45,'Monthly TB'!$A$6:$A$45,6260)</x:f>
        <x:v>19.165999999999997</x:v>
      </x:c>
      <x:c r="O30" s="21" t="n">
        <x:f>SUMIFS('Monthly TB'!R$6:R$45,'Monthly TB'!$A$6:$A$45,6260)</x:f>
        <x:v>19.167</x:v>
      </x:c>
    </x:row>
    <x:row r="31" ht="21" customHeight="1">
      <x:c r="A31" s="2" t="str">
        <x:v>Other G&amp;A</x:v>
      </x:c>
      <x:c r="B31" s="21" t="n">
        <x:f>SUM(D31:O31)</x:f>
        <x:v>715</x:v>
      </x:c>
      <x:c r="C31" s="23"/>
      <x:c r="D31" s="21" t="n">
        <x:f>SUMIFS('Monthly TB'!G$6:G$45,'Monthly TB'!$A$6:$A$45,6270)</x:f>
        <x:v>59.583</x:v>
      </x:c>
      <x:c r="E31" s="21" t="n">
        <x:f>SUMIFS('Monthly TB'!H$6:H$45,'Monthly TB'!$A$6:$A$45,6270)</x:f>
        <x:v>59.583</x:v>
      </x:c>
      <x:c r="F31" s="21" t="n">
        <x:f>SUMIFS('Monthly TB'!I$6:I$45,'Monthly TB'!$A$6:$A$45,6270)</x:f>
        <x:v>59.583</x:v>
      </x:c>
      <x:c r="G31" s="21" t="n">
        <x:f>SUMIFS('Monthly TB'!J$6:J$45,'Monthly TB'!$A$6:$A$45,6270)</x:f>
        <x:v>59.583</x:v>
      </x:c>
      <x:c r="H31" s="21" t="n">
        <x:f>SUMIFS('Monthly TB'!K$6:K$45,'Monthly TB'!$A$6:$A$45,6270)</x:f>
        <x:v>59.58300000000003</x:v>
      </x:c>
      <x:c r="I31" s="21" t="n">
        <x:f>SUMIFS('Monthly TB'!L$6:L$45,'Monthly TB'!$A$6:$A$45,6270)</x:f>
        <x:v>59.58299999999997</x:v>
      </x:c>
      <x:c r="J31" s="21" t="n">
        <x:f>SUMIFS('Monthly TB'!M$6:M$45,'Monthly TB'!$A$6:$A$45,6270)</x:f>
        <x:v>59.58300000000003</x:v>
      </x:c>
      <x:c r="K31" s="21" t="n">
        <x:f>SUMIFS('Monthly TB'!N$6:N$45,'Monthly TB'!$A$6:$A$45,6270)</x:f>
        <x:v>59.58299999999997</x:v>
      </x:c>
      <x:c r="L31" s="21" t="n">
        <x:f>SUMIFS('Monthly TB'!O$6:O$45,'Monthly TB'!$A$6:$A$45,6270)</x:f>
        <x:v>59.58299999999997</x:v>
      </x:c>
      <x:c r="M31" s="21" t="n">
        <x:f>SUMIFS('Monthly TB'!P$6:P$45,'Monthly TB'!$A$6:$A$45,6270)</x:f>
        <x:v>59.583000000000084</x:v>
      </x:c>
      <x:c r="N31" s="21" t="n">
        <x:f>SUMIFS('Monthly TB'!Q$6:Q$45,'Monthly TB'!$A$6:$A$45,6270)</x:f>
        <x:v>59.58299999999997</x:v>
      </x:c>
      <x:c r="O31" s="21" t="n">
        <x:f>SUMIFS('Monthly TB'!R$6:R$45,'Monthly TB'!$A$6:$A$45,6270)</x:f>
        <x:v>59.58699999999999</x:v>
      </x:c>
    </x:row>
    <x:row r="32" ht="21" customHeight="1">
      <x:c r="A32" s="14" t="str">
        <x:v>Total operating expenses</x:v>
      </x:c>
      <x:c r="B32" s="28" t="n">
        <x:f>SUM(D32:O32)</x:f>
        <x:v>4800</x:v>
      </x:c>
      <x:c r="C32" s="29"/>
      <x:c r="D32" s="28" t="n">
        <x:f>SUM(D17:D31)</x:f>
        <x:v>387.5</x:v>
      </x:c>
      <x:c r="E32" s="28" t="n">
        <x:f>SUM(E17:E31)</x:f>
        <x:v>387.5</x:v>
      </x:c>
      <x:c r="F32" s="28" t="n">
        <x:f>SUM(F17:F31)</x:f>
        <x:v>387.5</x:v>
      </x:c>
      <x:c r="G32" s="28" t="n">
        <x:f>SUM(G17:G31)</x:f>
        <x:v>437.5</x:v>
      </x:c>
      <x:c r="H32" s="28" t="n">
        <x:f>SUM(H17:H31)</x:f>
        <x:v>387.5</x:v>
      </x:c>
      <x:c r="I32" s="28" t="n">
        <x:f>SUM(I17:I31)</x:f>
        <x:v>387.5</x:v>
      </x:c>
      <x:c r="J32" s="28" t="n">
        <x:f>SUM(J17:J31)</x:f>
        <x:v>387.50000000000006</x:v>
      </x:c>
      <x:c r="K32" s="28" t="n">
        <x:f>SUM(K17:K31)</x:f>
        <x:v>437.49999999999994</x:v>
      </x:c>
      <x:c r="L32" s="28" t="n">
        <x:f>SUM(L17:L31)</x:f>
        <x:v>387.5</x:v>
      </x:c>
      <x:c r="M32" s="28" t="n">
        <x:f>SUM(M17:M31)</x:f>
        <x:v>387.5000000000001</x:v>
      </x:c>
      <x:c r="N32" s="28" t="n">
        <x:f>SUM(N17:N31)</x:f>
        <x:v>437.50000000000006</x:v>
      </x:c>
      <x:c r="O32" s="28" t="n">
        <x:f>SUM(O17:O31)</x:f>
        <x:v>387.4999999999999</x:v>
      </x:c>
    </x:row>
    <x:row r="33" ht="21" customHeight="1">
      <x:c r="A33" s="30" t="str">
        <x:v>Reported EBITDA</x:v>
      </x:c>
      <x:c r="B33" s="31" t="n">
        <x:f>SUM(D33:O33)</x:f>
        <x:v>2400</x:v>
      </x:c>
      <x:c r="C33" s="31"/>
      <x:c r="D33" s="31" t="n">
        <x:f>D15-D32</x:f>
        <x:v>92.5</x:v>
      </x:c>
      <x:c r="E33" s="31" t="n">
        <x:f>E15-E32</x:f>
        <x:v>112.5</x:v>
      </x:c>
      <x:c r="F33" s="31" t="n">
        <x:f>F15-F32</x:f>
        <x:v>152.5</x:v>
      </x:c>
      <x:c r="G33" s="31" t="n">
        <x:f>G15-G32</x:f>
        <x:v>142.5</x:v>
      </x:c>
      <x:c r="H33" s="31" t="n">
        <x:f>H15-H32</x:f>
        <x:v>232.5</x:v>
      </x:c>
      <x:c r="I33" s="31" t="n">
        <x:f>I15-I32</x:f>
        <x:v>272.5</x:v>
      </x:c>
      <x:c r="J33" s="31" t="n">
        <x:f>J15-J32</x:f>
        <x:v>252.49999999999994</x:v>
      </x:c>
      <x:c r="K33" s="31" t="n">
        <x:f>K15-K32</x:f>
        <x:v>182.50000000000006</x:v>
      </x:c>
      <x:c r="L33" s="31" t="n">
        <x:f>L15-L32</x:f>
        <x:v>212.5</x:v>
      </x:c>
      <x:c r="M33" s="31" t="n">
        <x:f>M15-M32</x:f>
        <x:v>232.4999999999999</x:v>
      </x:c>
      <x:c r="N33" s="31" t="n">
        <x:f>N15-N32</x:f>
        <x:v>242.49999999999994</x:v>
      </x:c>
      <x:c r="O33" s="31" t="n">
        <x:f>O15-O32</x:f>
        <x:v>272.5000000000001</x:v>
      </x:c>
    </x:row>
    <x:row r="34" ht="21" customHeight="1">
      <x:c r="A34" s="2"/>
      <x:c r="B34" s="21"/>
      <x:c r="C34" s="23"/>
      <x:c r="D34" s="21"/>
      <x:c r="E34" s="21"/>
      <x:c r="F34" s="21"/>
      <x:c r="G34" s="21"/>
      <x:c r="H34" s="21"/>
      <x:c r="I34" s="21"/>
      <x:c r="J34" s="21"/>
      <x:c r="K34" s="21"/>
      <x:c r="L34" s="21"/>
      <x:c r="M34" s="21"/>
      <x:c r="N34" s="21"/>
      <x:c r="O34" s="21"/>
    </x:row>
    <x:row r="35" ht="21" customHeight="1">
      <x:c r="A35" s="2" t="str">
        <x:v>Depreciation and amortization</x:v>
      </x:c>
      <x:c r="B35" s="21" t="n">
        <x:f>SUM(D35:O35)</x:f>
        <x:v>300</x:v>
      </x:c>
      <x:c r="C35" s="23"/>
      <x:c r="D35" s="21" t="n">
        <x:f>SUMIFS('Monthly TB'!G$6:G$45,'Monthly TB'!$A$6:$A$45,7000)</x:f>
        <x:v>25</x:v>
      </x:c>
      <x:c r="E35" s="21" t="n">
        <x:f>SUMIFS('Monthly TB'!H$6:H$45,'Monthly TB'!$A$6:$A$45,7000)</x:f>
        <x:v>25</x:v>
      </x:c>
      <x:c r="F35" s="21" t="n">
        <x:f>SUMIFS('Monthly TB'!I$6:I$45,'Monthly TB'!$A$6:$A$45,7000)</x:f>
        <x:v>25</x:v>
      </x:c>
      <x:c r="G35" s="21" t="n">
        <x:f>SUMIFS('Monthly TB'!J$6:J$45,'Monthly TB'!$A$6:$A$45,7000)</x:f>
        <x:v>25</x:v>
      </x:c>
      <x:c r="H35" s="21" t="n">
        <x:f>SUMIFS('Monthly TB'!K$6:K$45,'Monthly TB'!$A$6:$A$45,7000)</x:f>
        <x:v>25</x:v>
      </x:c>
      <x:c r="I35" s="21" t="n">
        <x:f>SUMIFS('Monthly TB'!L$6:L$45,'Monthly TB'!$A$6:$A$45,7000)</x:f>
        <x:v>25</x:v>
      </x:c>
      <x:c r="J35" s="21" t="n">
        <x:f>SUMIFS('Monthly TB'!M$6:M$45,'Monthly TB'!$A$6:$A$45,7000)</x:f>
        <x:v>25</x:v>
      </x:c>
      <x:c r="K35" s="21" t="n">
        <x:f>SUMIFS('Monthly TB'!N$6:N$45,'Monthly TB'!$A$6:$A$45,7000)</x:f>
        <x:v>25</x:v>
      </x:c>
      <x:c r="L35" s="21" t="n">
        <x:f>SUMIFS('Monthly TB'!O$6:O$45,'Monthly TB'!$A$6:$A$45,7000)</x:f>
        <x:v>25</x:v>
      </x:c>
      <x:c r="M35" s="21" t="n">
        <x:f>SUMIFS('Monthly TB'!P$6:P$45,'Monthly TB'!$A$6:$A$45,7000)</x:f>
        <x:v>25</x:v>
      </x:c>
      <x:c r="N35" s="21" t="n">
        <x:f>SUMIFS('Monthly TB'!Q$6:Q$45,'Monthly TB'!$A$6:$A$45,7000)</x:f>
        <x:v>25</x:v>
      </x:c>
      <x:c r="O35" s="21" t="n">
        <x:f>SUMIFS('Monthly TB'!R$6:R$45,'Monthly TB'!$A$6:$A$45,7000)</x:f>
        <x:v>25</x:v>
      </x:c>
    </x:row>
    <x:row r="36" ht="21" customHeight="1">
      <x:c r="A36" s="14" t="str">
        <x:v>EBIT</x:v>
      </x:c>
      <x:c r="B36" s="28" t="n">
        <x:f>SUM(D36:O36)</x:f>
        <x:v>2100</x:v>
      </x:c>
      <x:c r="C36" s="29"/>
      <x:c r="D36" s="28" t="n">
        <x:f>D33-D35</x:f>
        <x:v>67.5</x:v>
      </x:c>
      <x:c r="E36" s="28" t="n">
        <x:f>E33-E35</x:f>
        <x:v>87.5</x:v>
      </x:c>
      <x:c r="F36" s="28" t="n">
        <x:f>F33-F35</x:f>
        <x:v>127.5</x:v>
      </x:c>
      <x:c r="G36" s="28" t="n">
        <x:f>G33-G35</x:f>
        <x:v>117.5</x:v>
      </x:c>
      <x:c r="H36" s="28" t="n">
        <x:f>H33-H35</x:f>
        <x:v>207.5</x:v>
      </x:c>
      <x:c r="I36" s="28" t="n">
        <x:f>I33-I35</x:f>
        <x:v>247.5</x:v>
      </x:c>
      <x:c r="J36" s="28" t="n">
        <x:f>J33-J35</x:f>
        <x:v>227.49999999999994</x:v>
      </x:c>
      <x:c r="K36" s="28" t="n">
        <x:f>K33-K35</x:f>
        <x:v>157.50000000000006</x:v>
      </x:c>
      <x:c r="L36" s="28" t="n">
        <x:f>L33-L35</x:f>
        <x:v>187.5</x:v>
      </x:c>
      <x:c r="M36" s="28" t="n">
        <x:f>M33-M35</x:f>
        <x:v>207.4999999999999</x:v>
      </x:c>
      <x:c r="N36" s="28" t="n">
        <x:f>N33-N35</x:f>
        <x:v>217.49999999999994</x:v>
      </x:c>
      <x:c r="O36" s="28" t="n">
        <x:f>O33-O35</x:f>
        <x:v>247.5000000000001</x:v>
      </x:c>
    </x:row>
    <x:row r="37" ht="21" customHeight="1">
      <x:c r="A37" s="2" t="str">
        <x:v>Interest expense</x:v>
      </x:c>
      <x:c r="B37" s="21" t="n">
        <x:f>SUM(D37:O37)</x:f>
        <x:v>100</x:v>
      </x:c>
      <x:c r="C37" s="23"/>
      <x:c r="D37" s="21" t="n">
        <x:f>SUMIFS('Monthly TB'!G$6:G$45,'Monthly TB'!$A$6:$A$45,7100)</x:f>
        <x:v>8.333</x:v>
      </x:c>
      <x:c r="E37" s="21" t="n">
        <x:f>SUMIFS('Monthly TB'!H$6:H$45,'Monthly TB'!$A$6:$A$45,7100)</x:f>
        <x:v>8.334000000000001</x:v>
      </x:c>
      <x:c r="F37" s="21" t="n">
        <x:f>SUMIFS('Monthly TB'!I$6:I$45,'Monthly TB'!$A$6:$A$45,7100)</x:f>
        <x:v>8.332999999999998</x:v>
      </x:c>
      <x:c r="G37" s="21" t="n">
        <x:f>SUMIFS('Monthly TB'!J$6:J$45,'Monthly TB'!$A$6:$A$45,7100)</x:f>
        <x:v>8.332999999999998</x:v>
      </x:c>
      <x:c r="H37" s="21" t="n">
        <x:f>SUMIFS('Monthly TB'!K$6:K$45,'Monthly TB'!$A$6:$A$45,7100)</x:f>
        <x:v>8.334000000000003</x:v>
      </x:c>
      <x:c r="I37" s="21" t="n">
        <x:f>SUMIFS('Monthly TB'!L$6:L$45,'Monthly TB'!$A$6:$A$45,7100)</x:f>
        <x:v>8.332999999999998</x:v>
      </x:c>
      <x:c r="J37" s="21" t="n">
        <x:f>SUMIFS('Monthly TB'!M$6:M$45,'Monthly TB'!$A$6:$A$45,7100)</x:f>
        <x:v>8.332999999999998</x:v>
      </x:c>
      <x:c r="K37" s="21" t="n">
        <x:f>SUMIFS('Monthly TB'!N$6:N$45,'Monthly TB'!$A$6:$A$45,7100)</x:f>
        <x:v>8.334000000000003</x:v>
      </x:c>
      <x:c r="L37" s="21" t="n">
        <x:f>SUMIFS('Monthly TB'!O$6:O$45,'Monthly TB'!$A$6:$A$45,7100)</x:f>
        <x:v>8.332999999999998</x:v>
      </x:c>
      <x:c r="M37" s="21" t="n">
        <x:f>SUMIFS('Monthly TB'!P$6:P$45,'Monthly TB'!$A$6:$A$45,7100)</x:f>
        <x:v>8.332999999999998</x:v>
      </x:c>
      <x:c r="N37" s="21" t="n">
        <x:f>SUMIFS('Monthly TB'!Q$6:Q$45,'Monthly TB'!$A$6:$A$45,7100)</x:f>
        <x:v>8.334000000000003</x:v>
      </x:c>
      <x:c r="O37" s="21" t="n">
        <x:f>SUMIFS('Monthly TB'!R$6:R$45,'Monthly TB'!$A$6:$A$45,7100)</x:f>
        <x:v>8.332999999999998</x:v>
      </x:c>
    </x:row>
    <x:row r="38" ht="21" customHeight="1">
      <x:c r="A38" s="14" t="str">
        <x:v>Pre-tax income</x:v>
      </x:c>
      <x:c r="B38" s="28" t="n">
        <x:f>SUM(D38:O38)</x:f>
        <x:v>2000</x:v>
      </x:c>
      <x:c r="C38" s="29"/>
      <x:c r="D38" s="28" t="n">
        <x:f>D36-D37</x:f>
        <x:v>59.167</x:v>
      </x:c>
      <x:c r="E38" s="28" t="n">
        <x:f>E36-E37</x:f>
        <x:v>79.166</x:v>
      </x:c>
      <x:c r="F38" s="28" t="n">
        <x:f>F36-F37</x:f>
        <x:v>119.167</x:v>
      </x:c>
      <x:c r="G38" s="28" t="n">
        <x:f>G36-G37</x:f>
        <x:v>109.167</x:v>
      </x:c>
      <x:c r="H38" s="28" t="n">
        <x:f>H36-H37</x:f>
        <x:v>199.166</x:v>
      </x:c>
      <x:c r="I38" s="28" t="n">
        <x:f>I36-I37</x:f>
        <x:v>239.167</x:v>
      </x:c>
      <x:c r="J38" s="28" t="n">
        <x:f>J36-J37</x:f>
        <x:v>219.16699999999994</x:v>
      </x:c>
      <x:c r="K38" s="28" t="n">
        <x:f>K36-K37</x:f>
        <x:v>149.16600000000005</x:v>
      </x:c>
      <x:c r="L38" s="28" t="n">
        <x:f>L36-L37</x:f>
        <x:v>179.167</x:v>
      </x:c>
      <x:c r="M38" s="28" t="n">
        <x:f>M36-M37</x:f>
        <x:v>199.1669999999999</x:v>
      </x:c>
      <x:c r="N38" s="28" t="n">
        <x:f>N36-N37</x:f>
        <x:v>209.16599999999994</x:v>
      </x:c>
      <x:c r="O38" s="28" t="n">
        <x:f>O36-O37</x:f>
        <x:v>239.16700000000012</x:v>
      </x:c>
    </x:row>
    <x:row r="39" ht="21" customHeight="1">
      <x:c r="A39" s="2" t="str">
        <x:v>Income tax expense</x:v>
      </x:c>
      <x:c r="B39" s="21" t="n">
        <x:f>SUM(D39:O39)</x:f>
        <x:v>350</x:v>
      </x:c>
      <x:c r="C39" s="23"/>
      <x:c r="D39" s="21" t="n">
        <x:f>SUMIFS('Monthly TB'!G$6:G$45,'Monthly TB'!$A$6:$A$45,7200)</x:f>
        <x:v>29.167</x:v>
      </x:c>
      <x:c r="E39" s="21" t="n">
        <x:f>SUMIFS('Monthly TB'!H$6:H$45,'Monthly TB'!$A$6:$A$45,7200)</x:f>
        <x:v>29.165999999999997</x:v>
      </x:c>
      <x:c r="F39" s="21" t="n">
        <x:f>SUMIFS('Monthly TB'!I$6:I$45,'Monthly TB'!$A$6:$A$45,7200)</x:f>
        <x:v>29.167</x:v>
      </x:c>
      <x:c r="G39" s="21" t="n">
        <x:f>SUMIFS('Monthly TB'!J$6:J$45,'Monthly TB'!$A$6:$A$45,7200)</x:f>
        <x:v>29.167</x:v>
      </x:c>
      <x:c r="H39" s="21" t="n">
        <x:f>SUMIFS('Monthly TB'!K$6:K$45,'Monthly TB'!$A$6:$A$45,7200)</x:f>
        <x:v>29.165999999999997</x:v>
      </x:c>
      <x:c r="I39" s="21" t="n">
        <x:f>SUMIFS('Monthly TB'!L$6:L$45,'Monthly TB'!$A$6:$A$45,7200)</x:f>
        <x:v>29.167</x:v>
      </x:c>
      <x:c r="J39" s="21" t="n">
        <x:f>SUMIFS('Monthly TB'!M$6:M$45,'Monthly TB'!$A$6:$A$45,7200)</x:f>
        <x:v>29.167</x:v>
      </x:c>
      <x:c r="K39" s="21" t="n">
        <x:f>SUMIFS('Monthly TB'!N$6:N$45,'Monthly TB'!$A$6:$A$45,7200)</x:f>
        <x:v>29.165999999999997</x:v>
      </x:c>
      <x:c r="L39" s="21" t="n">
        <x:f>SUMIFS('Monthly TB'!O$6:O$45,'Monthly TB'!$A$6:$A$45,7200)</x:f>
        <x:v>29.167</x:v>
      </x:c>
      <x:c r="M39" s="21" t="n">
        <x:f>SUMIFS('Monthly TB'!P$6:P$45,'Monthly TB'!$A$6:$A$45,7200)</x:f>
        <x:v>29.166999999999973</x:v>
      </x:c>
      <x:c r="N39" s="21" t="n">
        <x:f>SUMIFS('Monthly TB'!Q$6:Q$45,'Monthly TB'!$A$6:$A$45,7200)</x:f>
        <x:v>29.166000000000054</x:v>
      </x:c>
      <x:c r="O39" s="21" t="n">
        <x:f>SUMIFS('Monthly TB'!R$6:R$45,'Monthly TB'!$A$6:$A$45,7200)</x:f>
        <x:v>29.166999999999973</x:v>
      </x:c>
    </x:row>
    <x:row r="40" ht="21" customHeight="1">
      <x:c r="A40" s="14" t="str">
        <x:v>Net income</x:v>
      </x:c>
      <x:c r="B40" s="28" t="n">
        <x:f>SUM(D40:O40)</x:f>
        <x:v>1650.0000000000002</x:v>
      </x:c>
      <x:c r="C40" s="29"/>
      <x:c r="D40" s="28" t="n">
        <x:f>D38-D39</x:f>
        <x:v>30</x:v>
      </x:c>
      <x:c r="E40" s="28" t="n">
        <x:f>E38-E39</x:f>
        <x:v>50</x:v>
      </x:c>
      <x:c r="F40" s="28" t="n">
        <x:f>F38-F39</x:f>
        <x:v>90</x:v>
      </x:c>
      <x:c r="G40" s="28" t="n">
        <x:f>G38-G39</x:f>
        <x:v>80</x:v>
      </x:c>
      <x:c r="H40" s="28" t="n">
        <x:f>H38-H39</x:f>
        <x:v>170</x:v>
      </x:c>
      <x:c r="I40" s="28" t="n">
        <x:f>I38-I39</x:f>
        <x:v>210</x:v>
      </x:c>
      <x:c r="J40" s="28" t="n">
        <x:f>J38-J39</x:f>
        <x:v>189.99999999999994</x:v>
      </x:c>
      <x:c r="K40" s="28" t="n">
        <x:f>K38-K39</x:f>
        <x:v>120.00000000000006</x:v>
      </x:c>
      <x:c r="L40" s="28" t="n">
        <x:f>L38-L39</x:f>
        <x:v>150</x:v>
      </x:c>
      <x:c r="M40" s="28" t="n">
        <x:f>M38-M39</x:f>
        <x:v>169.99999999999991</x:v>
      </x:c>
      <x:c r="N40" s="28" t="n">
        <x:f>N38-N39</x:f>
        <x:v>179.9999999999999</x:v>
      </x:c>
      <x:c r="O40" s="28" t="n">
        <x:f>O38-O39</x:f>
        <x:v>210.00000000000014</x:v>
      </x:c>
    </x:row>
    <x:row r="41" ht="21" customHeight="1">
      <x:c r="A41" s="2"/>
      <x:c r="B41" s="21"/>
      <x:c r="C41" s="23"/>
      <x:c r="D41" s="21"/>
      <x:c r="E41" s="21"/>
      <x:c r="F41" s="21"/>
      <x:c r="G41" s="21"/>
      <x:c r="H41" s="21"/>
      <x:c r="I41" s="21"/>
      <x:c r="J41" s="21"/>
      <x:c r="K41" s="21"/>
      <x:c r="L41" s="21"/>
      <x:c r="M41" s="21"/>
      <x:c r="N41" s="21"/>
      <x:c r="O41" s="21"/>
    </x:row>
    <x:row r="42" ht="21" customHeight="1">
      <x:c r="A42" s="2"/>
      <x:c r="B42" s="21"/>
      <x:c r="C42" s="23"/>
      <x:c r="D42" s="21"/>
      <x:c r="E42" s="21"/>
      <x:c r="F42" s="21"/>
      <x:c r="G42" s="21"/>
      <x:c r="H42" s="21"/>
      <x:c r="I42" s="21"/>
      <x:c r="J42" s="21"/>
      <x:c r="K42" s="21"/>
      <x:c r="L42" s="21"/>
      <x:c r="M42" s="21"/>
      <x:c r="N42" s="21"/>
      <x:c r="O42" s="21"/>
    </x:row>
    <x:row r="43" ht="21" customHeight="1">
      <x:c r="A43" s="2"/>
      <x:c r="B43" s="21"/>
      <x:c r="C43" s="23"/>
      <x:c r="D43" s="21"/>
      <x:c r="E43" s="21"/>
      <x:c r="F43" s="21"/>
      <x:c r="G43" s="21"/>
      <x:c r="H43" s="21"/>
      <x:c r="I43" s="21"/>
      <x:c r="J43" s="21"/>
      <x:c r="K43" s="21"/>
      <x:c r="L43" s="21"/>
      <x:c r="M43" s="21"/>
      <x:c r="N43" s="21"/>
      <x:c r="O43" s="21"/>
    </x:row>
    <x:row r="44" ht="21" customHeight="1">
      <x:c r="A44" s="2"/>
      <x:c r="B44" s="21"/>
      <x:c r="C44" s="23"/>
      <x:c r="D44" s="21"/>
      <x:c r="E44" s="21"/>
      <x:c r="F44" s="21"/>
      <x:c r="G44" s="21"/>
      <x:c r="H44" s="21"/>
      <x:c r="I44" s="21"/>
      <x:c r="J44" s="21"/>
      <x:c r="K44" s="21"/>
      <x:c r="L44" s="21"/>
      <x:c r="M44" s="21"/>
      <x:c r="N44" s="21"/>
      <x:c r="O44" s="21"/>
    </x:row>
    <x:row r="45">
      <x:c r="A45" s="46"/>
      <x:c r="B45" s="47"/>
      <x:c r="C45" s="48"/>
      <x:c r="D45" s="47"/>
      <x:c r="E45" s="47"/>
      <x:c r="F45" s="47"/>
      <x:c r="G45" s="47"/>
      <x:c r="H45" s="47"/>
      <x:c r="I45" s="47"/>
      <x:c r="J45" s="47"/>
      <x:c r="K45" s="47"/>
      <x:c r="L45" s="47"/>
      <x:c r="M45" s="47"/>
      <x:c r="N45" s="47"/>
      <x:c r="O45" s="47"/>
    </x:row>
    <x:row r="46">
      <x:c r="A46" s="46"/>
      <x:c r="B46" s="47"/>
      <x:c r="C46" s="48"/>
      <x:c r="D46" s="47"/>
      <x:c r="E46" s="47"/>
      <x:c r="F46" s="47"/>
      <x:c r="G46" s="47"/>
      <x:c r="H46" s="47"/>
      <x:c r="I46" s="47"/>
      <x:c r="J46" s="47"/>
      <x:c r="K46" s="47"/>
      <x:c r="L46" s="47"/>
      <x:c r="M46" s="47"/>
      <x:c r="N46" s="47"/>
      <x:c r="O46" s="47"/>
    </x:row>
    <x:row r="47">
      <x:c r="A47" s="46"/>
      <x:c r="B47" s="47"/>
      <x:c r="C47" s="48"/>
      <x:c r="D47" s="47"/>
      <x:c r="E47" s="47"/>
      <x:c r="F47" s="47"/>
      <x:c r="G47" s="47"/>
      <x:c r="H47" s="47"/>
      <x:c r="I47" s="47"/>
      <x:c r="J47" s="47"/>
      <x:c r="K47" s="47"/>
      <x:c r="L47" s="47"/>
      <x:c r="M47" s="47"/>
      <x:c r="N47" s="47"/>
      <x:c r="O47" s="47"/>
    </x:row>
    <x:row r="48">
      <x:c r="A48" s="46"/>
      <x:c r="B48" s="47"/>
      <x:c r="C48" s="48"/>
      <x:c r="D48" s="47"/>
      <x:c r="E48" s="47"/>
      <x:c r="F48" s="47"/>
      <x:c r="G48" s="47"/>
      <x:c r="H48" s="47"/>
      <x:c r="I48" s="47"/>
      <x:c r="J48" s="47"/>
      <x:c r="K48" s="47"/>
      <x:c r="L48" s="47"/>
      <x:c r="M48" s="47"/>
      <x:c r="N48" s="47"/>
      <x:c r="O48" s="47"/>
    </x:row>
    <x:row r="49">
      <x:c r="A49" s="46"/>
      <x:c r="B49" s="47"/>
      <x:c r="C49" s="48"/>
      <x:c r="D49" s="47"/>
      <x:c r="E49" s="47"/>
      <x:c r="F49" s="47"/>
      <x:c r="G49" s="47"/>
      <x:c r="H49" s="47"/>
      <x:c r="I49" s="47"/>
      <x:c r="J49" s="47"/>
      <x:c r="K49" s="47"/>
      <x:c r="L49" s="47"/>
      <x:c r="M49" s="47"/>
      <x:c r="N49" s="47"/>
      <x:c r="O49" s="47"/>
    </x:row>
    <x:row r="50">
      <x:c r="A50" s="46"/>
      <x:c r="B50" s="47"/>
      <x:c r="C50" s="48"/>
      <x:c r="D50" s="47"/>
      <x:c r="E50" s="47"/>
      <x:c r="F50" s="47"/>
      <x:c r="G50" s="47"/>
      <x:c r="H50" s="47"/>
      <x:c r="I50" s="47"/>
      <x:c r="J50" s="47"/>
      <x:c r="K50" s="47"/>
      <x:c r="L50" s="47"/>
      <x:c r="M50" s="47"/>
      <x:c r="N50" s="47"/>
      <x:c r="O50" s="47"/>
    </x:row>
    <x:row r="51">
      <x:c r="A51" s="46"/>
      <x:c r="B51" s="47"/>
      <x:c r="C51" s="48"/>
      <x:c r="D51" s="47"/>
      <x:c r="E51" s="47"/>
      <x:c r="F51" s="47"/>
      <x:c r="G51" s="47"/>
      <x:c r="H51" s="47"/>
      <x:c r="I51" s="47"/>
      <x:c r="J51" s="47"/>
      <x:c r="K51" s="47"/>
      <x:c r="L51" s="47"/>
      <x:c r="M51" s="47"/>
      <x:c r="N51" s="47"/>
      <x:c r="O51" s="47"/>
    </x:row>
    <x:row r="52">
      <x:c r="A52" s="46"/>
      <x:c r="B52" s="47"/>
      <x:c r="C52" s="48"/>
      <x:c r="D52" s="47"/>
      <x:c r="E52" s="47"/>
      <x:c r="F52" s="47"/>
      <x:c r="G52" s="47"/>
      <x:c r="H52" s="47"/>
      <x:c r="I52" s="47"/>
      <x:c r="J52" s="47"/>
      <x:c r="K52" s="47"/>
      <x:c r="L52" s="47"/>
      <x:c r="M52" s="47"/>
      <x:c r="N52" s="47"/>
      <x:c r="O52" s="47"/>
    </x:row>
    <x:row r="53">
      <x:c r="A53" s="46"/>
      <x:c r="B53" s="47"/>
      <x:c r="C53" s="48"/>
      <x:c r="D53" s="47"/>
      <x:c r="E53" s="47"/>
      <x:c r="F53" s="47"/>
      <x:c r="G53" s="47"/>
      <x:c r="H53" s="47"/>
      <x:c r="I53" s="47"/>
      <x:c r="J53" s="47"/>
      <x:c r="K53" s="47"/>
      <x:c r="L53" s="47"/>
      <x:c r="M53" s="47"/>
      <x:c r="N53" s="47"/>
      <x:c r="O53" s="47"/>
    </x:row>
    <x:row r="54">
      <x:c r="A54" s="46"/>
      <x:c r="B54" s="47"/>
      <x:c r="C54" s="48"/>
      <x:c r="D54" s="47"/>
      <x:c r="E54" s="47"/>
      <x:c r="F54" s="47"/>
      <x:c r="G54" s="47"/>
      <x:c r="H54" s="47"/>
      <x:c r="I54" s="47"/>
      <x:c r="J54" s="47"/>
      <x:c r="K54" s="47"/>
      <x:c r="L54" s="47"/>
      <x:c r="M54" s="47"/>
      <x:c r="N54" s="47"/>
      <x:c r="O54" s="47"/>
    </x:row>
    <x:row r="55">
      <x:c r="A55" s="46"/>
      <x:c r="B55" s="47"/>
      <x:c r="C55" s="48"/>
      <x:c r="D55" s="47"/>
      <x:c r="E55" s="47"/>
      <x:c r="F55" s="47"/>
      <x:c r="G55" s="47"/>
      <x:c r="H55" s="47"/>
      <x:c r="I55" s="47"/>
      <x:c r="J55" s="47"/>
      <x:c r="K55" s="47"/>
      <x:c r="L55" s="47"/>
      <x:c r="M55" s="47"/>
      <x:c r="N55" s="47"/>
      <x:c r="O55" s="47"/>
    </x:row>
    <x:row r="56">
      <x:c r="A56" s="46"/>
      <x:c r="B56" s="47"/>
      <x:c r="C56" s="48"/>
      <x:c r="D56" s="47"/>
      <x:c r="E56" s="47"/>
      <x:c r="F56" s="47"/>
      <x:c r="G56" s="47"/>
      <x:c r="H56" s="47"/>
      <x:c r="I56" s="47"/>
      <x:c r="J56" s="47"/>
      <x:c r="K56" s="47"/>
      <x:c r="L56" s="47"/>
      <x:c r="M56" s="47"/>
      <x:c r="N56" s="47"/>
      <x:c r="O56" s="47"/>
    </x:row>
    <x:row r="57">
      <x:c r="A57" s="46"/>
      <x:c r="B57" s="47"/>
      <x:c r="C57" s="48"/>
      <x:c r="D57" s="47"/>
      <x:c r="E57" s="47"/>
      <x:c r="F57" s="47"/>
      <x:c r="G57" s="47"/>
      <x:c r="H57" s="47"/>
      <x:c r="I57" s="47"/>
      <x:c r="J57" s="47"/>
      <x:c r="K57" s="47"/>
      <x:c r="L57" s="47"/>
      <x:c r="M57" s="47"/>
      <x:c r="N57" s="47"/>
      <x:c r="O57" s="47"/>
    </x:row>
    <x:row r="58">
      <x:c r="A58" s="46"/>
      <x:c r="B58" s="47"/>
      <x:c r="C58" s="48"/>
      <x:c r="D58" s="47"/>
      <x:c r="E58" s="47"/>
      <x:c r="F58" s="47"/>
      <x:c r="G58" s="47"/>
      <x:c r="H58" s="47"/>
      <x:c r="I58" s="47"/>
      <x:c r="J58" s="47"/>
      <x:c r="K58" s="47"/>
      <x:c r="L58" s="47"/>
      <x:c r="M58" s="47"/>
      <x:c r="N58" s="47"/>
      <x:c r="O58" s="47"/>
    </x:row>
    <x:row r="59">
      <x:c r="A59" s="46"/>
      <x:c r="B59" s="47"/>
      <x:c r="C59" s="48"/>
      <x:c r="D59" s="47"/>
      <x:c r="E59" s="47"/>
      <x:c r="F59" s="47"/>
      <x:c r="G59" s="47"/>
      <x:c r="H59" s="47"/>
      <x:c r="I59" s="47"/>
      <x:c r="J59" s="47"/>
      <x:c r="K59" s="47"/>
      <x:c r="L59" s="47"/>
      <x:c r="M59" s="47"/>
      <x:c r="N59" s="47"/>
      <x:c r="O59" s="47"/>
    </x:row>
    <x:row r="60">
      <x:c r="A60" s="46"/>
      <x:c r="B60" s="47"/>
      <x:c r="C60" s="48"/>
      <x:c r="D60" s="47"/>
      <x:c r="E60" s="47"/>
      <x:c r="F60" s="47"/>
      <x:c r="G60" s="47"/>
      <x:c r="H60" s="47"/>
      <x:c r="I60" s="47"/>
      <x:c r="J60" s="47"/>
      <x:c r="K60" s="47"/>
      <x:c r="L60" s="47"/>
      <x:c r="M60" s="47"/>
      <x:c r="N60" s="47"/>
      <x:c r="O60" s="47"/>
    </x:row>
  </x:sheetData>
  <x:pageMargins left="0.7" right="0.7" top="0.75" bottom="0.75" header="0.3" footer="0.3"/>
</x:worksheet>
</file>

<file path=xl/worksheets/sheet3.xml><?xml version="1.0" encoding="utf-8"?>
<x:worksheet xmlns:x="http://schemas.openxmlformats.org/spreadsheetml/2006/main">
  <x:sheetPr>
    <x:tabColor rgb="FF30343B"/>
  </x:sheetPr>
  <x:sheetViews>
    <x:sheetView showGridLines="0" workbookViewId="0"/>
  </x:sheetViews>
  <x:sheetFormatPr defaultRowHeight="15"/>
  <x:cols>
    <x:col min="1" max="1" width="44" hidden="0" customWidth="1"/>
    <x:col min="2" max="2" width="18" hidden="0" customWidth="1"/>
    <x:col min="3" max="3" width="3" hidden="0" customWidth="1"/>
    <x:col min="4" max="4" width="81" hidden="0" customWidth="1"/>
  </x:cols>
  <x:sheetData>
    <x:row r="1" ht="9" customHeight="1">
      <x:c r="A1" s="2"/>
      <x:c r="B1" s="2"/>
      <x:c r="C1" s="2"/>
      <x:c r="D1" s="2"/>
    </x:row>
    <x:row r="2" ht="21" customHeight="1">
      <x:c r="A2" s="3" t="str">
        <x:v>Worked example: owner compensation</x:v>
      </x:c>
      <x:c r="B2" s="2"/>
      <x:c r="C2" s="2"/>
      <x:c r="D2" s="2"/>
    </x:row>
    <x:row r="3" ht="21" customHeight="1">
      <x:c r="A3" s="4" t="str">
        <x:v>Break Into FDD | FY2025 | $000 | A fully loaded replacement remains in sustainable earnings</x:v>
      </x:c>
      <x:c r="B3" s="2"/>
      <x:c r="C3" s="2"/>
      <x:c r="D3" s="2"/>
    </x:row>
    <x:row r="4" ht="21" customHeight="1">
      <x:c r="A4" s="2"/>
      <x:c r="B4" s="2"/>
      <x:c r="C4" s="2"/>
      <x:c r="D4" s="2"/>
    </x:row>
    <x:row r="5" ht="27" customHeight="1">
      <x:c r="A5" s="7" t="str">
        <x:v>Calculation</x:v>
      </x:c>
      <x:c r="B5" s="7" t="str">
        <x:v>Amount</x:v>
      </x:c>
      <x:c r="C5" s="18" t="str"/>
      <x:c r="D5" s="7" t="str">
        <x:v>Source / interpretation</x:v>
      </x:c>
    </x:row>
    <x:row r="6" ht="21" customHeight="1">
      <x:c r="A6" s="2" t="str">
        <x:v>Owner salary</x:v>
      </x:c>
      <x:c r="B6" s="21" t="n">
        <x:f>'Reported PL'!B18</x:f>
        <x:v>350</x:v>
      </x:c>
      <x:c r="C6" s="19"/>
      <x:c r="D6" s="2" t="str">
        <x:v>Account 6115</x:v>
      </x:c>
    </x:row>
    <x:row r="7" ht="21" customHeight="1">
      <x:c r="A7" s="2" t="str">
        <x:v>Owner bonus</x:v>
      </x:c>
      <x:c r="B7" s="21" t="n">
        <x:f>'Reported PL'!B19</x:f>
        <x:v>40</x:v>
      </x:c>
      <x:c r="C7" s="19"/>
      <x:c r="D7" s="2" t="str">
        <x:v>Account 6116</x:v>
      </x:c>
    </x:row>
    <x:row r="8" ht="21" customHeight="1">
      <x:c r="A8" s="2" t="str">
        <x:v>Owner benefits</x:v>
      </x:c>
      <x:c r="B8" s="21" t="n">
        <x:f>'Reported PL'!B20</x:f>
        <x:v>35</x:v>
      </x:c>
      <x:c r="C8" s="19"/>
      <x:c r="D8" s="2" t="str">
        <x:v>Account 6117</x:v>
      </x:c>
    </x:row>
    <x:row r="9" ht="21" customHeight="1">
      <x:c r="A9" s="30" t="str">
        <x:v>Total historical owner package</x:v>
      </x:c>
      <x:c r="B9" s="31" t="n">
        <x:f>SUM(B6:B8)</x:f>
        <x:v>425</x:v>
      </x:c>
      <x:c r="C9" s="34"/>
      <x:c r="D9" s="30" t="str">
        <x:v>Costs already included in reported EBITDA</x:v>
      </x:c>
    </x:row>
    <x:row r="10" ht="21" customHeight="1">
      <x:c r="A10" s="2"/>
      <x:c r="B10" s="21"/>
      <x:c r="C10" s="19"/>
      <x:c r="D10" s="2"/>
    </x:row>
    <x:row r="11" ht="21" customHeight="1">
      <x:c r="A11" s="2" t="str">
        <x:v>Assumed replacement package</x:v>
      </x:c>
      <x:c r="B11" s="21" t="n">
        <x:f>'Case Facts'!C9</x:f>
        <x:v>300</x:v>
      </x:c>
      <x:c r="C11" s="19"/>
      <x:c r="D11" s="2" t="str">
        <x:v>Same duties; salary, bonus and benefits included</x:v>
      </x:c>
    </x:row>
    <x:row r="12" ht="21" customHeight="1">
      <x:c r="A12" s="2"/>
      <x:c r="B12" s="21"/>
      <x:c r="C12" s="19"/>
      <x:c r="D12" s="2"/>
    </x:row>
    <x:row r="13" ht="21" customHeight="1">
      <x:c r="A13" s="30" t="str">
        <x:v>Owner-compensation normalization</x:v>
      </x:c>
      <x:c r="B13" s="31" t="n">
        <x:f>B9-B11</x:f>
        <x:v>125</x:v>
      </x:c>
      <x:c r="C13" s="34"/>
      <x:c r="D13" s="30" t="str">
        <x:v>Add back only the excess cost, not the whole owner package</x:v>
      </x:c>
    </x:row>
    <x:row r="14" ht="21" customHeight="1">
      <x:c r="A14" s="2"/>
      <x:c r="B14" s="2"/>
      <x:c r="C14" s="2"/>
      <x:c r="D14" s="2"/>
    </x:row>
    <x:row r="15" ht="21" customHeight="1">
      <x:c r="A15" s="2"/>
      <x:c r="B15" s="2"/>
      <x:c r="C15" s="2"/>
      <x:c r="D15" s="2"/>
    </x:row>
    <x:row r="16" ht="21" customHeight="1">
      <x:c r="A16" s="2"/>
      <x:c r="B16" s="2"/>
      <x:c r="C16" s="2"/>
      <x:c r="D16" s="2"/>
    </x:row>
    <x:row r="17" ht="58" customHeight="1">
      <x:c r="A17" s="2" t="str">
        <x:v>Why it is supportable</x:v>
      </x:c>
      <x:c r="B17" s="2"/>
      <x:c r="C17" s="2"/>
      <x:c r="D17" s="33" t="str">
        <x:v>The owner performs a continuing operating role. The business still needs someone to do that work after the sale. Compare like-for-like, fully loaded packages.</x:v>
      </x:c>
    </x:row>
    <x:row r="18" ht="21" customHeight="1">
      <x:c r="A18" s="2"/>
      <x:c r="B18" s="2"/>
      <x:c r="C18" s="2"/>
      <x:c r="D18" s="2"/>
    </x:row>
    <x:row r="19" ht="21" customHeight="1">
      <x:c r="A19" s="2"/>
      <x:c r="B19" s="2"/>
      <x:c r="C19" s="2"/>
      <x:c r="D19" s="2"/>
    </x:row>
    <x:row r="20" ht="21" customHeight="1">
      <x:c r="A20" s="2"/>
      <x:c r="B20" s="2"/>
      <x:c r="C20" s="2"/>
      <x:c r="D20" s="2"/>
    </x:row>
    <x:row r="21" ht="58" customHeight="1">
      <x:c r="A21" s="2" t="str">
        <x:v>Real diligence follow-up</x:v>
      </x:c>
      <x:c r="B21" s="2"/>
      <x:c r="C21" s="2"/>
      <x:c r="D21" s="33" t="str">
        <x:v>Validate payroll records, duties, replacement capacity, benefits and the compensation benchmark. Buyer-specific absorption savings belong outside this standalone normalization.</x:v>
      </x:c>
    </x:row>
    <x:row r="22" ht="21" customHeight="1">
      <x:c r="A22" s="2"/>
      <x:c r="B22" s="2"/>
      <x:c r="C22" s="2"/>
      <x:c r="D22" s="2"/>
    </x:row>
    <x:row r="23" ht="21" customHeight="1">
      <x:c r="A23" s="2"/>
      <x:c r="B23" s="2"/>
      <x:c r="C23" s="2"/>
      <x:c r="D23" s="2"/>
    </x:row>
    <x:row r="24" ht="21" customHeight="1">
      <x:c r="A24" s="2"/>
      <x:c r="B24" s="2"/>
      <x:c r="C24" s="2"/>
      <x:c r="D24" s="2"/>
    </x:row>
    <x:row r="25" ht="40" customHeight="1">
      <x:c r="A25" s="2" t="str">
        <x:v>Your next step</x:v>
      </x:c>
      <x:c r="B25" s="2"/>
      <x:c r="C25" s="2"/>
      <x:c r="D25" s="33" t="str">
        <x:v>Apply the same discipline to legal fees and the post-sale lease, then complete Your Bridge.</x:v>
      </x:c>
    </x:row>
    <x:row r="26" ht="21" customHeight="1">
      <x:c r="A26" s="2"/>
      <x:c r="B26" s="2"/>
      <x:c r="C26" s="2"/>
      <x:c r="D26" s="2"/>
    </x:row>
    <x:row r="27" ht="21" customHeight="1">
      <x:c r="A27" s="2"/>
      <x:c r="B27" s="2"/>
      <x:c r="C27" s="2"/>
      <x:c r="D27" s="2"/>
    </x:row>
    <x:row r="28" ht="21" customHeight="1">
      <x:c r="A28" s="2"/>
      <x:c r="B28" s="2"/>
      <x:c r="C28" s="2"/>
      <x:c r="D28" s="2"/>
    </x:row>
  </x:sheetData>
  <x:pageMargins left="0.7" right="0.7" top="0.75" bottom="0.75" header="0.3" footer="0.3"/>
</x:worksheet>
</file>

<file path=xl/worksheets/sheet4.xml><?xml version="1.0" encoding="utf-8"?>
<x:worksheet xmlns:x="http://schemas.openxmlformats.org/spreadsheetml/2006/main">
  <x:sheetPr>
    <x:tabColor rgb="FF777B82"/>
  </x:sheetPr>
  <x:sheetViews>
    <x:sheetView showGridLines="0" workbookViewId="0"/>
  </x:sheetViews>
  <x:sheetFormatPr defaultRowHeight="15"/>
  <x:cols>
    <x:col min="1" max="1" width="48" hidden="0" customWidth="1"/>
    <x:col min="2" max="2" width="18" hidden="0" customWidth="1"/>
    <x:col min="3" max="3" width="3" hidden="0" customWidth="1"/>
    <x:col min="4" max="4" width="83" hidden="0" customWidth="1"/>
  </x:cols>
  <x:sheetData>
    <x:row r="1" ht="9" customHeight="1">
      <x:c r="A1" s="2"/>
      <x:c r="B1" s="2"/>
      <x:c r="C1" s="2"/>
      <x:c r="D1" s="2"/>
    </x:row>
    <x:row r="2" ht="21" customHeight="1">
      <x:c r="A2" s="3" t="str">
        <x:v>Complete the EBITDA bridge</x:v>
      </x:c>
      <x:c r="B2" s="2"/>
      <x:c r="C2" s="2"/>
      <x:c r="D2" s="2"/>
    </x:row>
    <x:row r="3" ht="21" customHeight="1">
      <x:c r="A3" s="4" t="str">
        <x:v>Break Into FDD | FY2025 | $000 | Amber cells are learner inputs; calculations remain blank until supplied</x:v>
      </x:c>
      <x:c r="B3" s="2"/>
      <x:c r="C3" s="2"/>
      <x:c r="D3" s="2"/>
    </x:row>
    <x:row r="4" ht="21" customHeight="1">
      <x:c r="A4" s="2"/>
      <x:c r="B4" s="2"/>
      <x:c r="C4" s="2"/>
      <x:c r="D4" s="2"/>
    </x:row>
    <x:row r="5" ht="27" customHeight="1">
      <x:c r="A5" s="7" t="str">
        <x:v>EBITDA bridge</x:v>
      </x:c>
      <x:c r="B5" s="7" t="str">
        <x:v>Amount</x:v>
      </x:c>
      <x:c r="C5" s="18" t="str"/>
      <x:c r="D5" s="7" t="str">
        <x:v>What to do</x:v>
      </x:c>
    </x:row>
    <x:row r="6" ht="34" customHeight="1">
      <x:c r="A6" s="30" t="str">
        <x:v>Reported EBITDA</x:v>
      </x:c>
      <x:c r="B6" s="31" t="n">
        <x:f>'Reported PL'!B33</x:f>
        <x:v>2400</x:v>
      </x:c>
      <x:c r="C6" s="34"/>
      <x:c r="D6" s="39" t="str">
        <x:v>Trace this to the monthly P&amp;L</x:v>
      </x:c>
    </x:row>
    <x:row r="7" ht="21" customHeight="1">
      <x:c r="A7" s="2"/>
      <x:c r="B7" s="21"/>
      <x:c r="C7" s="19"/>
      <x:c r="D7" s="2"/>
    </x:row>
    <x:row r="8" ht="34" customHeight="1">
      <x:c r="A8" s="2" t="str">
        <x:v>Management legal add-back</x:v>
      </x:c>
      <x:c r="B8" s="21" t="n">
        <x:f>'Case Facts'!C26</x:f>
        <x:v>150</x:v>
      </x:c>
      <x:c r="C8" s="19"/>
      <x:c r="D8" s="33" t="str">
        <x:v>Management proposes all selected invoices</x:v>
      </x:c>
    </x:row>
    <x:row r="9" ht="34" customHeight="1">
      <x:c r="A9" s="30" t="str">
        <x:v>Management-adjusted EBITDA</x:v>
      </x:c>
      <x:c r="B9" s="31" t="n">
        <x:f>SUM(B6,B8)</x:f>
        <x:v>2550</x:v>
      </x:c>
      <x:c r="C9" s="34"/>
      <x:c r="D9" s="39" t="str">
        <x:v>Before your diligence conclusions</x:v>
      </x:c>
    </x:row>
    <x:row r="10" ht="21" customHeight="1">
      <x:c r="A10" s="2"/>
      <x:c r="B10" s="21"/>
      <x:c r="C10" s="19"/>
      <x:c r="D10" s="2"/>
    </x:row>
    <x:row r="11" ht="21" customHeight="1">
      <x:c r="A11" s="2"/>
      <x:c r="B11" s="21"/>
      <x:c r="C11" s="19"/>
      <x:c r="D11" s="2"/>
    </x:row>
    <x:row r="12" ht="34" customHeight="1">
      <x:c r="A12" s="2" t="str">
        <x:v>Owner package normalization</x:v>
      </x:c>
      <x:c r="B12" s="21" t="n">
        <x:f>'Owner Example'!B13</x:f>
        <x:v>125</x:v>
      </x:c>
      <x:c r="C12" s="19"/>
      <x:c r="D12" s="33" t="str">
        <x:v>Worked example completed</x:v>
      </x:c>
    </x:row>
    <x:row r="13" ht="21" customHeight="1">
      <x:c r="A13" s="2"/>
      <x:c r="B13" s="21"/>
      <x:c r="C13" s="19"/>
      <x:c r="D13" s="2"/>
    </x:row>
    <x:row r="14" ht="34" customHeight="1">
      <x:c r="A14" s="2" t="str">
        <x:v>Your legal adjustment to management</x:v>
      </x:c>
      <x:c r="B14" s="41"/>
      <x:c r="C14" s="19"/>
      <x:c r="D14" s="33" t="str">
        <x:v>Enter the change to management’s proposal, including the correct sign</x:v>
      </x:c>
    </x:row>
    <x:row r="15" ht="21" customHeight="1">
      <x:c r="A15" s="2"/>
      <x:c r="B15" s="21"/>
      <x:c r="C15" s="19"/>
      <x:c r="D15" s="2"/>
    </x:row>
    <x:row r="16" ht="34" customHeight="1">
      <x:c r="A16" s="30" t="str">
        <x:v>Historical QoE-adjusted EBITDA</x:v>
      </x:c>
      <x:c r="B16" s="31" t="str">
        <x:f>IF(COUNT(B14)=0,"",SUM(B9,B12,B14))</x:f>
      </x:c>
      <x:c r="C16" s="34"/>
      <x:c r="D16" s="39" t="str">
        <x:v>Includes your legal judgment; excludes the new lease</x:v>
      </x:c>
    </x:row>
    <x:row r="17" ht="21" customHeight="1">
      <x:c r="A17" s="2"/>
      <x:c r="B17" s="21"/>
      <x:c r="C17" s="19"/>
      <x:c r="D17" s="2"/>
    </x:row>
    <x:row r="18" ht="21" customHeight="1">
      <x:c r="A18" s="2"/>
      <x:c r="B18" s="21"/>
      <x:c r="C18" s="19"/>
      <x:c r="D18" s="2"/>
    </x:row>
    <x:row r="19" ht="34" customHeight="1">
      <x:c r="A19" s="2" t="str">
        <x:v>Your post-sale lease normalization</x:v>
      </x:c>
      <x:c r="B19" s="41"/>
      <x:c r="C19" s="19"/>
      <x:c r="D19" s="33" t="str">
        <x:v>Enter the annual go-forward change, including the correct sign</x:v>
      </x:c>
    </x:row>
    <x:row r="20" ht="21" customHeight="1">
      <x:c r="A20" s="2"/>
      <x:c r="B20" s="21"/>
      <x:c r="C20" s="19"/>
      <x:c r="D20" s="2"/>
    </x:row>
    <x:row r="21" ht="34" customHeight="1">
      <x:c r="A21" s="30" t="str">
        <x:v>EBITDA including lease normalization</x:v>
      </x:c>
      <x:c r="B21" s="31" t="str">
        <x:f>IF(COUNT(B14,B19)&lt;2,"",SUM(B16,B19))</x:f>
      </x:c>
      <x:c r="C21" s="34"/>
      <x:c r="D21" s="39" t="str">
        <x:v>Completes after both conclusions are entered</x:v>
      </x:c>
    </x:row>
    <x:row r="22" ht="21" customHeight="1">
      <x:c r="A22" s="2"/>
      <x:c r="B22" s="2"/>
      <x:c r="C22" s="2"/>
      <x:c r="D22" s="2"/>
    </x:row>
    <x:row r="23" ht="21" customHeight="1">
      <x:c r="A23" s="2"/>
      <x:c r="B23" s="2"/>
      <x:c r="C23" s="2"/>
      <x:c r="D23" s="2"/>
    </x:row>
    <x:row r="24" ht="48" customHeight="1">
      <x:c r="A24" s="2" t="str">
        <x:v>Legal rationale</x:v>
      </x:c>
      <x:c r="B24" s="2"/>
      <x:c r="C24" s="2"/>
      <x:c r="D24" s="43"/>
    </x:row>
    <x:row r="25" ht="21" customHeight="1">
      <x:c r="A25" s="2"/>
      <x:c r="B25" s="2"/>
      <x:c r="C25" s="2"/>
      <x:c r="D25" s="2"/>
    </x:row>
    <x:row r="26" ht="48" customHeight="1">
      <x:c r="A26" s="2" t="str">
        <x:v>Lease rationale</x:v>
      </x:c>
      <x:c r="B26" s="2"/>
      <x:c r="C26" s="2"/>
      <x:c r="D26" s="43"/>
    </x:row>
    <x:row r="27" ht="21" customHeight="1">
      <x:c r="A27" s="2"/>
      <x:c r="B27" s="2"/>
      <x:c r="C27" s="2"/>
      <x:c r="D27" s="2"/>
    </x:row>
    <x:row r="28" ht="48" customHeight="1">
      <x:c r="A28" s="2" t="str">
        <x:v>Further evidence to request</x:v>
      </x:c>
      <x:c r="B28" s="2"/>
      <x:c r="C28" s="2"/>
      <x:c r="D28" s="43"/>
    </x:row>
    <x:row r="29" ht="21" customHeight="1">
      <x:c r="A29" s="2"/>
      <x:c r="B29" s="2"/>
      <x:c r="C29" s="2"/>
      <x:c r="D29" s="2"/>
    </x:row>
    <x:row r="30" ht="21" customHeight="1">
      <x:c r="A30" s="2"/>
      <x:c r="B30" s="2"/>
      <x:c r="C30" s="2"/>
      <x:c r="D30" s="2"/>
    </x:row>
    <x:row r="31" ht="48" customHeight="1">
      <x:c r="A31" s="2" t="str">
        <x:v>Sign convention</x:v>
      </x:c>
      <x:c r="B31" s="2"/>
      <x:c r="C31" s="2"/>
      <x:c r="D31" s="33" t="str">
        <x:v>Positive amounts increase EBITDA; negative amounts reduce it. A deliberate zero is a valid input. Blank means no conclusion yet.</x:v>
      </x:c>
    </x:row>
    <x:row r="32" ht="21" customHeight="1">
      <x:c r="A32" s="2"/>
      <x:c r="B32" s="2"/>
      <x:c r="C32" s="2"/>
      <x:c r="D32" s="2"/>
    </x:row>
    <x:row r="33" ht="21" customHeight="1">
      <x:c r="A33" s="2"/>
      <x:c r="B33" s="2"/>
      <x:c r="C33" s="2"/>
      <x:c r="D33" s="2"/>
    </x:row>
    <x:row r="34" ht="21" customHeight="1">
      <x:c r="A34" s="2"/>
      <x:c r="B34" s="2"/>
      <x:c r="C34" s="2"/>
      <x:c r="D34" s="2"/>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88" hidden="0" customWidth="1"/>
    <x:col min="3" max="3" width="18" hidden="0" customWidth="1"/>
    <x:col min="4" max="4" width="18" hidden="0" customWidth="1"/>
  </x:cols>
  <x:sheetData>
    <x:row r="1" ht="9" customHeight="1">
      <x:c r="A1" s="2"/>
      <x:c r="B1" s="2"/>
      <x:c r="C1" s="2"/>
      <x:c r="D1" s="2"/>
    </x:row>
    <x:row r="2" ht="21" customHeight="1">
      <x:c r="A2" s="3" t="str">
        <x:v>Harmony case facts</x:v>
      </x:c>
      <x:c r="B2" s="2"/>
      <x:c r="C2" s="2"/>
      <x:c r="D2" s="2"/>
    </x:row>
    <x:row r="3" ht="21" customHeight="1">
      <x:c r="A3" s="4" t="str">
        <x:v>Break Into FDD | Fictional records for this exercise | All amounts in $000 unless stated</x:v>
      </x:c>
      <x:c r="B3" s="2"/>
      <x:c r="C3" s="2"/>
      <x:c r="D3" s="2"/>
    </x:row>
    <x:row r="4" ht="21" customHeight="1">
      <x:c r="A4" s="2"/>
      <x:c r="B4" s="2"/>
      <x:c r="C4" s="2"/>
      <x:c r="D4" s="2"/>
    </x:row>
    <x:row r="5" ht="60" customHeight="1">
      <x:c r="A5" s="32" t="str">
        <x:v>Company</x:v>
      </x:c>
      <x:c r="B5" s="33" t="str">
        <x:v>Harmony Cleaning Services, LLC provides recurring commercial janitorial services and occasional deep-cleaning projects. It is owner-managed, has a related-party facility lease and reports on a calendar-year basis.</x:v>
      </x:c>
      <x:c r="C5" s="2"/>
      <x:c r="D5" s="2"/>
    </x:row>
    <x:row r="6" ht="21" customHeight="1">
      <x:c r="A6" s="2"/>
      <x:c r="B6" s="2"/>
      <x:c r="C6" s="2"/>
      <x:c r="D6" s="2"/>
    </x:row>
    <x:row r="7" ht="60" customHeight="1">
      <x:c r="A7" s="32" t="str">
        <x:v>Owner role</x:v>
      </x:c>
      <x:c r="B7" s="33" t="str">
        <x:v>The owner is a full-time general manager. A replacement would perform the same duties. Historical compensation includes salary, bonus and employer-paid benefits. All three components were expensed in FY2025.</x:v>
      </x:c>
      <x:c r="C7" s="2"/>
      <x:c r="D7" s="2"/>
    </x:row>
    <x:row r="8" ht="21" customHeight="1">
      <x:c r="A8" s="2"/>
      <x:c r="B8" s="2"/>
      <x:c r="C8" s="2"/>
      <x:c r="D8" s="2"/>
    </x:row>
    <x:row r="9" ht="40" customHeight="1">
      <x:c r="A9" s="2" t="str">
        <x:v>Replacement package</x:v>
      </x:c>
      <x:c r="B9" s="33" t="str">
        <x:v>Fully loaded annual cost assumed for this fictional case; no external market benchmark is claimed.</x:v>
      </x:c>
      <x:c r="C9" s="21" t="n">
        <x:v>300</x:v>
      </x:c>
      <x:c r="D9" s="2"/>
    </x:row>
    <x:row r="10" ht="21" customHeight="1">
      <x:c r="A10" s="2"/>
      <x:c r="B10" s="2"/>
      <x:c r="C10" s="2"/>
      <x:c r="D10" s="2"/>
    </x:row>
    <x:row r="11" ht="50" customHeight="1">
      <x:c r="A11" s="32" t="str">
        <x:v>Historical occupancy</x:v>
      </x:c>
      <x:c r="B11" s="33" t="str">
        <x:v>The related-party landlord charges $120k annual base rent plus $60k recurring operating-cost reimbursements. Both costs are included in the reported P&amp;L.</x:v>
      </x:c>
      <x:c r="C11" s="2"/>
      <x:c r="D11" s="2"/>
    </x:row>
    <x:row r="12" ht="21" customHeight="1">
      <x:c r="A12" s="2"/>
      <x:c r="B12" s="2"/>
      <x:c r="C12" s="2"/>
      <x:c r="D12" s="2"/>
    </x:row>
    <x:row r="13" ht="65" customHeight="1">
      <x:c r="A13" s="32" t="str">
        <x:v>Replacement lease</x:v>
      </x:c>
      <x:c r="B13" s="33" t="str">
        <x:v>A new lease is required to keep the same facility after the sale. It becomes effective at closing. Base rent is $240k per year, and operating-cost reimbursements remain $60k per year. Use a full-year standalone comparison; no closing date is supplied.</x:v>
      </x:c>
      <x:c r="C13" s="2"/>
      <x:c r="D13" s="2"/>
    </x:row>
    <x:row r="14" ht="21" customHeight="1">
      <x:c r="A14" s="2"/>
      <x:c r="B14" s="2"/>
      <x:c r="C14" s="2"/>
      <x:c r="D14" s="2"/>
    </x:row>
    <x:row r="15" ht="70" customHeight="1">
      <x:c r="A15" s="32" t="str">
        <x:v>Management position</x:v>
      </x:c>
      <x:c r="B15" s="33" t="str">
        <x:v>Management proposes adding back all six selected legal invoices below. It proposes no owner-compensation or rent adjustment. All invoices were expensed in FY2025 professional fees; none is reimbursed or offset elsewhere. The other professional-fee costs are recurring advisory work.</x:v>
      </x:c>
      <x:c r="C15" s="2"/>
      <x:c r="D15" s="2"/>
    </x:row>
    <x:row r="16" ht="21" customHeight="1">
      <x:c r="A16" s="2"/>
      <x:c r="B16" s="2"/>
      <x:c r="C16" s="2"/>
      <x:c r="D16" s="2"/>
    </x:row>
    <x:row r="17" ht="21" customHeight="1">
      <x:c r="A17" s="2"/>
      <x:c r="B17" s="2"/>
      <x:c r="C17" s="2"/>
      <x:c r="D17" s="2"/>
    </x:row>
    <x:row r="18" ht="27" customHeight="1">
      <x:c r="A18" s="7" t="str">
        <x:v>Month</x:v>
      </x:c>
      <x:c r="B18" s="7" t="str">
        <x:v>Invoice description</x:v>
      </x:c>
      <x:c r="C18" s="7" t="str">
        <x:v>Amount</x:v>
      </x:c>
      <x:c r="D18" s="7" t="str">
        <x:v>Reference</x:v>
      </x:c>
    </x:row>
    <x:row r="19" ht="21" customHeight="1">
      <x:c r="A19" s="2" t="str">
        <x:v>Apr-25</x:v>
      </x:c>
      <x:c r="B19" s="2" t="str">
        <x:v>Advice preparing shareholder sale materials</x:v>
      </x:c>
      <x:c r="C19" s="21" t="n">
        <x:v>40</x:v>
      </x:c>
      <x:c r="D19" s="9" t="str">
        <x:v>INV-01</x:v>
      </x:c>
    </x:row>
    <x:row r="20" ht="21" customHeight="1">
      <x:c r="A20" s="2" t="str">
        <x:v>Apr-25</x:v>
      </x:c>
      <x:c r="B20" s="2" t="str">
        <x:v>Annual supplier-contract review</x:v>
      </x:c>
      <x:c r="C20" s="21" t="n">
        <x:v>10</x:v>
      </x:c>
      <x:c r="D20" s="9" t="str">
        <x:v>INV-02</x:v>
      </x:c>
    </x:row>
    <x:row r="21" ht="21" customHeight="1">
      <x:c r="A21" s="2" t="str">
        <x:v>Aug-25</x:v>
      </x:c>
      <x:c r="B21" s="2" t="str">
        <x:v>Counsel responding to buyer sale diligence</x:v>
      </x:c>
      <x:c r="C21" s="21" t="n">
        <x:v>35</x:v>
      </x:c>
      <x:c r="D21" s="9" t="str">
        <x:v>INV-03</x:v>
      </x:c>
    </x:row>
    <x:row r="22" ht="21" customHeight="1">
      <x:c r="A22" s="2" t="str">
        <x:v>Aug-25</x:v>
      </x:c>
      <x:c r="B22" s="2" t="str">
        <x:v>Renewal of ordinary customer contracts</x:v>
      </x:c>
      <x:c r="C22" s="21" t="n">
        <x:v>15</x:v>
      </x:c>
      <x:c r="D22" s="9" t="str">
        <x:v>INV-04</x:v>
      </x:c>
    </x:row>
    <x:row r="23" ht="21" customHeight="1">
      <x:c r="A23" s="2" t="str">
        <x:v>Nov-25</x:v>
      </x:c>
      <x:c r="B23" s="2" t="str">
        <x:v>Drafting documentation for the business sale</x:v>
      </x:c>
      <x:c r="C23" s="21" t="n">
        <x:v>35</x:v>
      </x:c>
      <x:c r="D23" s="9" t="str">
        <x:v>INV-05</x:v>
      </x:c>
    </x:row>
    <x:row r="24" ht="21" customHeight="1">
      <x:c r="A24" s="2" t="str">
        <x:v>Nov-25</x:v>
      </x:c>
      <x:c r="B24" s="2" t="str">
        <x:v>Routine employment-contract maintenance</x:v>
      </x:c>
      <x:c r="C24" s="21" t="n">
        <x:v>15</x:v>
      </x:c>
      <x:c r="D24" s="9" t="str">
        <x:v>INV-06</x:v>
      </x:c>
    </x:row>
    <x:row r="25" ht="21" customHeight="1">
      <x:c r="A25" s="2"/>
      <x:c r="B25" s="2"/>
      <x:c r="C25" s="21"/>
      <x:c r="D25" s="2"/>
    </x:row>
    <x:row r="26" ht="21" customHeight="1">
      <x:c r="A26" s="14" t="str">
        <x:v>Management selected total</x:v>
      </x:c>
      <x:c r="B26" s="14"/>
      <x:c r="C26" s="28" t="n">
        <x:f>SUM(C19:C24)</x:f>
        <x:v>150</x:v>
      </x:c>
      <x:c r="D26" s="14"/>
    </x:row>
    <x:row r="27" ht="21" customHeight="1">
      <x:c r="A27" s="2"/>
      <x:c r="B27" s="2"/>
      <x:c r="C27" s="2"/>
      <x:c r="D27" s="2"/>
    </x:row>
    <x:row r="28" ht="21" customHeight="1">
      <x:c r="A28" s="2"/>
      <x:c r="B28" s="2"/>
      <x:c r="C28" s="2"/>
      <x:c r="D28" s="2"/>
    </x:row>
    <x:row r="29" ht="65" customHeight="1">
      <x:c r="A29" s="32" t="str">
        <x:v>Your judgment</x:v>
      </x:c>
      <x:c r="B29" s="33" t="str">
        <x:v>Which invoice costs are incremental to the sale, and which belong in recurring earnings? Explain what additional evidence you would request before accepting a real-world add-back. Distinguish the lease reset from historical accounting corrections.</x:v>
      </x:c>
      <x:c r="C29" s="2"/>
      <x:c r="D29" s="2"/>
    </x:row>
    <x:row r="30" ht="21" customHeight="1">
      <x:c r="A30" s="2"/>
      <x:c r="B30" s="2"/>
      <x:c r="C30" s="2"/>
      <x:c r="D30" s="2"/>
    </x:row>
    <x:row r="31" ht="60" customHeight="1">
      <x:c r="A31" s="32" t="str">
        <x:v>Scope</x:v>
      </x:c>
      <x:c r="B31" s="33" t="str">
        <x:v>Use only the three issues in this exercise: owner compensation, selected legal fees and the facility lease. Do not add buyer-specific integration savings. Do not create extra bonus, working-capital or debt adjustments.</x:v>
      </x:c>
      <x:c r="C31" s="2"/>
      <x:c r="D31" s="2"/>
    </x:row>
    <x:row r="32" ht="21" customHeight="1">
      <x:c r="A32" s="2"/>
      <x:c r="B32" s="2"/>
      <x:c r="C32" s="2"/>
      <x:c r="D32" s="2"/>
    </x:row>
    <x:row r="33" ht="65" customHeight="1">
      <x:c r="A33" s="32" t="str">
        <x:v>Synthetic disclosure</x:v>
      </x:c>
      <x:c r="B33" s="33" t="str">
        <x:v>Harmony and every record described here are invented for education. No real company, employer, client, vendor or customer data is used. These are case assumptions, not factual market benchmarks or transaction advice.</x:v>
      </x:c>
      <x:c r="C33" s="2"/>
      <x:c r="D33" s="2"/>
    </x:row>
    <x:row r="34" ht="21" customHeight="1">
      <x:c r="A34" s="2"/>
      <x:c r="B34" s="2"/>
      <x:c r="C34" s="2"/>
      <x:c r="D34" s="2"/>
    </x:row>
    <x:row r="35" ht="21" customHeight="1">
      <x:c r="A35" s="2"/>
      <x:c r="B35" s="2"/>
      <x:c r="C35" s="2"/>
      <x:c r="D35" s="2"/>
    </x:row>
    <x:row r="36" ht="21" customHeight="1">
      <x:c r="A36" s="2"/>
      <x:c r="B36" s="2"/>
      <x:c r="C36" s="2"/>
      <x:c r="D36" s="2"/>
    </x:row>
    <x:row r="37" ht="21" customHeight="1">
      <x:c r="A37" s="2"/>
      <x:c r="B37" s="2"/>
      <x:c r="C37" s="2"/>
      <x:c r="D37" s="2"/>
    </x:row>
    <x:row r="38" ht="21" customHeight="1">
      <x:c r="A38" s="2"/>
      <x:c r="B38" s="2"/>
      <x:c r="C38" s="2"/>
      <x:c r="D38" s="2"/>
    </x:row>
    <x:row r="39" ht="21" customHeight="1">
      <x:c r="A39" s="2"/>
      <x:c r="B39" s="2"/>
      <x:c r="C39" s="2"/>
      <x:c r="D39" s="2"/>
    </x:row>
    <x:row r="40" ht="21" customHeight="1">
      <x:c r="A40" s="2"/>
      <x:c r="B40" s="2"/>
      <x:c r="C40" s="2"/>
      <x:c r="D40" s="2"/>
    </x:row>
    <x:row r="41" ht="21" customHeight="1">
      <x:c r="A41" s="2"/>
      <x:c r="B41" s="2"/>
      <x:c r="C41" s="2"/>
      <x:c r="D41" s="2"/>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36" hidden="0" customWidth="1"/>
    <x:col min="3" max="3" width="15" hidden="0" customWidth="1"/>
    <x:col min="4" max="4" width="25" hidden="0" customWidth="1"/>
    <x:col min="5" max="5" width="37" hidden="0" customWidth="1"/>
    <x:col min="6" max="6" width="16" hidden="0" customWidth="1"/>
  </x:cols>
  <x:sheetData>
    <x:row r="1" ht="9" customHeight="1">
      <x:c r="A1" s="2"/>
      <x:c r="B1" s="2"/>
      <x:c r="C1" s="2"/>
      <x:c r="D1" s="2"/>
      <x:c r="E1" s="2"/>
      <x:c r="F1" s="2"/>
    </x:row>
    <x:row r="2" ht="21" customHeight="1">
      <x:c r="A2" s="3" t="str">
        <x:v>Account mapping</x:v>
      </x:c>
      <x:c r="B2" s="2"/>
      <x:c r="C2" s="2"/>
      <x:c r="D2" s="2"/>
      <x:c r="E2" s="2"/>
      <x:c r="F2" s="2"/>
    </x:row>
    <x:row r="3" ht="21" customHeight="1">
      <x:c r="A3" s="4" t="str">
        <x:v>Break Into FDD | One mapping row per account | Presentation sign is applied after monthly conversion</x:v>
      </x:c>
      <x:c r="B3" s="2"/>
      <x:c r="C3" s="2"/>
      <x:c r="D3" s="2"/>
      <x:c r="E3" s="2"/>
      <x:c r="F3" s="2"/>
    </x:row>
    <x:row r="4" ht="21" customHeight="1">
      <x:c r="A4" s="2"/>
      <x:c r="B4" s="2"/>
      <x:c r="C4" s="2"/>
      <x:c r="D4" s="2"/>
      <x:c r="E4" s="2"/>
      <x:c r="F4" s="2"/>
    </x:row>
    <x:row r="5" ht="27" customHeight="1">
      <x:c r="A5" s="7" t="str">
        <x:v>Account</x:v>
      </x:c>
      <x:c r="B5" s="7" t="str">
        <x:v>Account name</x:v>
      </x:c>
      <x:c r="C5" s="7" t="str">
        <x:v>Statement</x:v>
      </x:c>
      <x:c r="D5" s="7" t="str">
        <x:v>Section</x:v>
      </x:c>
      <x:c r="E5" s="7" t="str">
        <x:v>P&amp;L / BS line</x:v>
      </x:c>
      <x:c r="F5" s="7" t="str">
        <x:v>Display sign</x:v>
      </x:c>
    </x:row>
    <x:row r="6" ht="21" customHeight="1">
      <x:c r="A6" s="17" t="n">
        <x:f>'Raw TB'!A6</x:f>
        <x:v>1000</x:v>
      </x:c>
      <x:c r="B6" s="16" t="str">
        <x:f>'Raw TB'!B6</x:f>
        <x:v>Cash</x:v>
      </x:c>
      <x:c r="C6" s="2" t="str">
        <x:v>BS</x:v>
      </x:c>
      <x:c r="D6" s="2" t="str">
        <x:v>Assets</x:v>
      </x:c>
      <x:c r="E6" s="2" t="str">
        <x:v>Cash</x:v>
      </x:c>
      <x:c r="F6" s="9" t="n">
        <x:v>1</x:v>
      </x:c>
    </x:row>
    <x:row r="7" ht="21" customHeight="1">
      <x:c r="A7" s="17" t="n">
        <x:f>'Raw TB'!A7</x:f>
        <x:v>1100</x:v>
      </x:c>
      <x:c r="B7" s="16" t="str">
        <x:f>'Raw TB'!B7</x:f>
        <x:v>Accounts Receivable</x:v>
      </x:c>
      <x:c r="C7" s="2" t="str">
        <x:v>BS</x:v>
      </x:c>
      <x:c r="D7" s="2" t="str">
        <x:v>Assets</x:v>
      </x:c>
      <x:c r="E7" s="2" t="str">
        <x:v>Accounts Receivable</x:v>
      </x:c>
      <x:c r="F7" s="9" t="n">
        <x:v>1</x:v>
      </x:c>
    </x:row>
    <x:row r="8" ht="21" customHeight="1">
      <x:c r="A8" s="17" t="n">
        <x:f>'Raw TB'!A8</x:f>
        <x:v>1150</x:v>
      </x:c>
      <x:c r="B8" s="16" t="str">
        <x:f>'Raw TB'!B8</x:f>
        <x:v>Other Receivables</x:v>
      </x:c>
      <x:c r="C8" s="2" t="str">
        <x:v>BS</x:v>
      </x:c>
      <x:c r="D8" s="2" t="str">
        <x:v>Assets</x:v>
      </x:c>
      <x:c r="E8" s="2" t="str">
        <x:v>Other Receivables</x:v>
      </x:c>
      <x:c r="F8" s="9" t="n">
        <x:v>1</x:v>
      </x:c>
    </x:row>
    <x:row r="9" ht="21" customHeight="1">
      <x:c r="A9" s="17" t="n">
        <x:f>'Raw TB'!A9</x:f>
        <x:v>1200</x:v>
      </x:c>
      <x:c r="B9" s="16" t="str">
        <x:f>'Raw TB'!B9</x:f>
        <x:v>Prepaid Expenses</x:v>
      </x:c>
      <x:c r="C9" s="2" t="str">
        <x:v>BS</x:v>
      </x:c>
      <x:c r="D9" s="2" t="str">
        <x:v>Assets</x:v>
      </x:c>
      <x:c r="E9" s="2" t="str">
        <x:v>Prepaid Expenses</x:v>
      </x:c>
      <x:c r="F9" s="9" t="n">
        <x:v>1</x:v>
      </x:c>
    </x:row>
    <x:row r="10" ht="21" customHeight="1">
      <x:c r="A10" s="17" t="n">
        <x:f>'Raw TB'!A10</x:f>
        <x:v>1300</x:v>
      </x:c>
      <x:c r="B10" s="16" t="str">
        <x:f>'Raw TB'!B10</x:f>
        <x:v>Supplies Inventory</x:v>
      </x:c>
      <x:c r="C10" s="2" t="str">
        <x:v>BS</x:v>
      </x:c>
      <x:c r="D10" s="2" t="str">
        <x:v>Assets</x:v>
      </x:c>
      <x:c r="E10" s="2" t="str">
        <x:v>Supplies Inventory</x:v>
      </x:c>
      <x:c r="F10" s="9" t="n">
        <x:v>1</x:v>
      </x:c>
    </x:row>
    <x:row r="11" ht="21" customHeight="1">
      <x:c r="A11" s="17" t="n">
        <x:f>'Raw TB'!A11</x:f>
        <x:v>1500</x:v>
      </x:c>
      <x:c r="B11" s="16" t="str">
        <x:f>'Raw TB'!B11</x:f>
        <x:v>Property &amp; Equipment</x:v>
      </x:c>
      <x:c r="C11" s="2" t="str">
        <x:v>BS</x:v>
      </x:c>
      <x:c r="D11" s="2" t="str">
        <x:v>Assets</x:v>
      </x:c>
      <x:c r="E11" s="2" t="str">
        <x:v>Property &amp; Equipment</x:v>
      </x:c>
      <x:c r="F11" s="9" t="n">
        <x:v>1</x:v>
      </x:c>
    </x:row>
    <x:row r="12" ht="21" customHeight="1">
      <x:c r="A12" s="17" t="n">
        <x:f>'Raw TB'!A12</x:f>
        <x:v>1510</x:v>
      </x:c>
      <x:c r="B12" s="16" t="str">
        <x:f>'Raw TB'!B12</x:f>
        <x:v>Accumulated Depreciation</x:v>
      </x:c>
      <x:c r="C12" s="2" t="str">
        <x:v>BS</x:v>
      </x:c>
      <x:c r="D12" s="2" t="str">
        <x:v>Assets</x:v>
      </x:c>
      <x:c r="E12" s="2" t="str">
        <x:v>Accumulated Depreciation</x:v>
      </x:c>
      <x:c r="F12" s="9" t="n">
        <x:v>1</x:v>
      </x:c>
    </x:row>
    <x:row r="13" ht="21" customHeight="1">
      <x:c r="A13" s="17" t="n">
        <x:f>'Raw TB'!A13</x:f>
        <x:v>2000</x:v>
      </x:c>
      <x:c r="B13" s="16" t="str">
        <x:f>'Raw TB'!B13</x:f>
        <x:v>Accounts Payable</x:v>
      </x:c>
      <x:c r="C13" s="2" t="str">
        <x:v>BS</x:v>
      </x:c>
      <x:c r="D13" s="2" t="str">
        <x:v>Liabilities</x:v>
      </x:c>
      <x:c r="E13" s="2" t="str">
        <x:v>Accounts Payable</x:v>
      </x:c>
      <x:c r="F13" s="9" t="n">
        <x:v>-1</x:v>
      </x:c>
    </x:row>
    <x:row r="14" ht="21" customHeight="1">
      <x:c r="A14" s="17" t="n">
        <x:f>'Raw TB'!A14</x:f>
        <x:v>2100</x:v>
      </x:c>
      <x:c r="B14" s="16" t="str">
        <x:f>'Raw TB'!B14</x:f>
        <x:v>Accrued Payroll</x:v>
      </x:c>
      <x:c r="C14" s="2" t="str">
        <x:v>BS</x:v>
      </x:c>
      <x:c r="D14" s="2" t="str">
        <x:v>Liabilities</x:v>
      </x:c>
      <x:c r="E14" s="2" t="str">
        <x:v>Accrued Payroll</x:v>
      </x:c>
      <x:c r="F14" s="9" t="n">
        <x:v>-1</x:v>
      </x:c>
    </x:row>
    <x:row r="15" ht="21" customHeight="1">
      <x:c r="A15" s="17" t="n">
        <x:f>'Raw TB'!A15</x:f>
        <x:v>2110</x:v>
      </x:c>
      <x:c r="B15" s="16" t="str">
        <x:f>'Raw TB'!B15</x:f>
        <x:v>Accrued Bonuses</x:v>
      </x:c>
      <x:c r="C15" s="2" t="str">
        <x:v>BS</x:v>
      </x:c>
      <x:c r="D15" s="2" t="str">
        <x:v>Liabilities</x:v>
      </x:c>
      <x:c r="E15" s="2" t="str">
        <x:v>Accrued Bonuses</x:v>
      </x:c>
      <x:c r="F15" s="9" t="n">
        <x:v>-1</x:v>
      </x:c>
    </x:row>
    <x:row r="16" ht="21" customHeight="1">
      <x:c r="A16" s="17" t="n">
        <x:f>'Raw TB'!A16</x:f>
        <x:v>2200</x:v>
      </x:c>
      <x:c r="B16" s="16" t="str">
        <x:f>'Raw TB'!B16</x:f>
        <x:v>Payroll Taxes Payable</x:v>
      </x:c>
      <x:c r="C16" s="2" t="str">
        <x:v>BS</x:v>
      </x:c>
      <x:c r="D16" s="2" t="str">
        <x:v>Liabilities</x:v>
      </x:c>
      <x:c r="E16" s="2" t="str">
        <x:v>Payroll Taxes Payable</x:v>
      </x:c>
      <x:c r="F16" s="9" t="n">
        <x:v>-1</x:v>
      </x:c>
    </x:row>
    <x:row r="17" ht="21" customHeight="1">
      <x:c r="A17" s="17" t="n">
        <x:f>'Raw TB'!A17</x:f>
        <x:v>2300</x:v>
      </x:c>
      <x:c r="B17" s="16" t="str">
        <x:f>'Raw TB'!B17</x:f>
        <x:v>Deferred Revenue</x:v>
      </x:c>
      <x:c r="C17" s="2" t="str">
        <x:v>BS</x:v>
      </x:c>
      <x:c r="D17" s="2" t="str">
        <x:v>Liabilities</x:v>
      </x:c>
      <x:c r="E17" s="2" t="str">
        <x:v>Deferred Revenue</x:v>
      </x:c>
      <x:c r="F17" s="9" t="n">
        <x:v>-1</x:v>
      </x:c>
    </x:row>
    <x:row r="18" ht="21" customHeight="1">
      <x:c r="A18" s="17" t="n">
        <x:f>'Raw TB'!A18</x:f>
        <x:v>2400</x:v>
      </x:c>
      <x:c r="B18" s="16" t="str">
        <x:f>'Raw TB'!B18</x:f>
        <x:v>Other Accrued Liabilities</x:v>
      </x:c>
      <x:c r="C18" s="2" t="str">
        <x:v>BS</x:v>
      </x:c>
      <x:c r="D18" s="2" t="str">
        <x:v>Liabilities</x:v>
      </x:c>
      <x:c r="E18" s="2" t="str">
        <x:v>Other Accrued Liabilities</x:v>
      </x:c>
      <x:c r="F18" s="9" t="n">
        <x:v>-1</x:v>
      </x:c>
    </x:row>
    <x:row r="19" ht="21" customHeight="1">
      <x:c r="A19" s="17" t="n">
        <x:f>'Raw TB'!A19</x:f>
        <x:v>2500</x:v>
      </x:c>
      <x:c r="B19" s="16" t="str">
        <x:f>'Raw TB'!B19</x:f>
        <x:v>Term Loan</x:v>
      </x:c>
      <x:c r="C19" s="2" t="str">
        <x:v>BS</x:v>
      </x:c>
      <x:c r="D19" s="2" t="str">
        <x:v>Liabilities</x:v>
      </x:c>
      <x:c r="E19" s="2" t="str">
        <x:v>Term Loan</x:v>
      </x:c>
      <x:c r="F19" s="9" t="n">
        <x:v>-1</x:v>
      </x:c>
    </x:row>
    <x:row r="20" ht="21" customHeight="1">
      <x:c r="A20" s="17" t="n">
        <x:f>'Raw TB'!A20</x:f>
        <x:v>3000</x:v>
      </x:c>
      <x:c r="B20" s="16" t="str">
        <x:f>'Raw TB'!B20</x:f>
        <x:v>Member's Capital</x:v>
      </x:c>
      <x:c r="C20" s="2" t="str">
        <x:v>BS</x:v>
      </x:c>
      <x:c r="D20" s="2" t="str">
        <x:v>Equity</x:v>
      </x:c>
      <x:c r="E20" s="2" t="str">
        <x:v>Member's Capital</x:v>
      </x:c>
      <x:c r="F20" s="9" t="n">
        <x:v>-1</x:v>
      </x:c>
    </x:row>
    <x:row r="21" ht="21" customHeight="1">
      <x:c r="A21" s="17" t="n">
        <x:f>'Raw TB'!A21</x:f>
        <x:v>3100</x:v>
      </x:c>
      <x:c r="B21" s="16" t="str">
        <x:f>'Raw TB'!B21</x:f>
        <x:v>Retained Earnings</x:v>
      </x:c>
      <x:c r="C21" s="2" t="str">
        <x:v>BS</x:v>
      </x:c>
      <x:c r="D21" s="2" t="str">
        <x:v>Equity</x:v>
      </x:c>
      <x:c r="E21" s="2" t="str">
        <x:v>Retained Earnings</x:v>
      </x:c>
      <x:c r="F21" s="9" t="n">
        <x:v>-1</x:v>
      </x:c>
    </x:row>
    <x:row r="22" ht="21" customHeight="1">
      <x:c r="A22" s="17" t="n">
        <x:f>'Raw TB'!A22</x:f>
        <x:v>4000</x:v>
      </x:c>
      <x:c r="B22" s="16" t="str">
        <x:f>'Raw TB'!B22</x:f>
        <x:v>Recurring Janitorial Revenue</x:v>
      </x:c>
      <x:c r="C22" s="2" t="str">
        <x:v>P&amp;L</x:v>
      </x:c>
      <x:c r="D22" s="2" t="str">
        <x:v>Revenue</x:v>
      </x:c>
      <x:c r="E22" s="2" t="str">
        <x:v>Recurring Janitorial Revenue</x:v>
      </x:c>
      <x:c r="F22" s="9" t="n">
        <x:v>-1</x:v>
      </x:c>
    </x:row>
    <x:row r="23" ht="21" customHeight="1">
      <x:c r="A23" s="17" t="n">
        <x:f>'Raw TB'!A23</x:f>
        <x:v>4010</x:v>
      </x:c>
      <x:c r="B23" s="16" t="str">
        <x:f>'Raw TB'!B23</x:f>
        <x:v>Deep Cleaning / Project Revenue</x:v>
      </x:c>
      <x:c r="C23" s="2" t="str">
        <x:v>P&amp;L</x:v>
      </x:c>
      <x:c r="D23" s="2" t="str">
        <x:v>Revenue</x:v>
      </x:c>
      <x:c r="E23" s="2" t="str">
        <x:v>Deep Cleaning / Project Revenue</x:v>
      </x:c>
      <x:c r="F23" s="9" t="n">
        <x:v>-1</x:v>
      </x:c>
    </x:row>
    <x:row r="24" ht="21" customHeight="1">
      <x:c r="A24" s="17" t="n">
        <x:f>'Raw TB'!A24</x:f>
        <x:v>5000</x:v>
      </x:c>
      <x:c r="B24" s="16" t="str">
        <x:f>'Raw TB'!B24</x:f>
        <x:v>Field Labor</x:v>
      </x:c>
      <x:c r="C24" s="2" t="str">
        <x:v>P&amp;L</x:v>
      </x:c>
      <x:c r="D24" s="2" t="str">
        <x:v>Cost of Services</x:v>
      </x:c>
      <x:c r="E24" s="2" t="str">
        <x:v>Field Labor</x:v>
      </x:c>
      <x:c r="F24" s="9" t="n">
        <x:v>1</x:v>
      </x:c>
    </x:row>
    <x:row r="25" ht="21" customHeight="1">
      <x:c r="A25" s="17" t="n">
        <x:f>'Raw TB'!A25</x:f>
        <x:v>5010</x:v>
      </x:c>
      <x:c r="B25" s="16" t="str">
        <x:f>'Raw TB'!B25</x:f>
        <x:v>Payroll Taxes &amp; Benefits</x:v>
      </x:c>
      <x:c r="C25" s="2" t="str">
        <x:v>P&amp;L</x:v>
      </x:c>
      <x:c r="D25" s="2" t="str">
        <x:v>Cost of Services</x:v>
      </x:c>
      <x:c r="E25" s="2" t="str">
        <x:v>Payroll Taxes &amp; Benefits</x:v>
      </x:c>
      <x:c r="F25" s="9" t="n">
        <x:v>1</x:v>
      </x:c>
    </x:row>
    <x:row r="26" ht="21" customHeight="1">
      <x:c r="A26" s="17" t="n">
        <x:f>'Raw TB'!A26</x:f>
        <x:v>5020</x:v>
      </x:c>
      <x:c r="B26" s="16" t="str">
        <x:f>'Raw TB'!B26</x:f>
        <x:v>Cleaning Supplies</x:v>
      </x:c>
      <x:c r="C26" s="2" t="str">
        <x:v>P&amp;L</x:v>
      </x:c>
      <x:c r="D26" s="2" t="str">
        <x:v>Cost of Services</x:v>
      </x:c>
      <x:c r="E26" s="2" t="str">
        <x:v>Cleaning Supplies</x:v>
      </x:c>
      <x:c r="F26" s="9" t="n">
        <x:v>1</x:v>
      </x:c>
    </x:row>
    <x:row r="27" ht="21" customHeight="1">
      <x:c r="A27" s="17" t="n">
        <x:f>'Raw TB'!A27</x:f>
        <x:v>5030</x:v>
      </x:c>
      <x:c r="B27" s="16" t="str">
        <x:f>'Raw TB'!B27</x:f>
        <x:v>Subcontractor Costs</x:v>
      </x:c>
      <x:c r="C27" s="2" t="str">
        <x:v>P&amp;L</x:v>
      </x:c>
      <x:c r="D27" s="2" t="str">
        <x:v>Cost of Services</x:v>
      </x:c>
      <x:c r="E27" s="2" t="str">
        <x:v>Subcontractor Costs</x:v>
      </x:c>
      <x:c r="F27" s="9" t="n">
        <x:v>1</x:v>
      </x:c>
    </x:row>
    <x:row r="28" ht="21" customHeight="1">
      <x:c r="A28" s="17" t="n">
        <x:f>'Raw TB'!A28</x:f>
        <x:v>6100</x:v>
      </x:c>
      <x:c r="B28" s="16" t="str">
        <x:f>'Raw TB'!B28</x:f>
        <x:v>Administrative Salaries</x:v>
      </x:c>
      <x:c r="C28" s="2" t="str">
        <x:v>P&amp;L</x:v>
      </x:c>
      <x:c r="D28" s="2" t="str">
        <x:v>Operating Expenses</x:v>
      </x:c>
      <x:c r="E28" s="2" t="str">
        <x:v>Administrative Salaries</x:v>
      </x:c>
      <x:c r="F28" s="9" t="n">
        <x:v>1</x:v>
      </x:c>
    </x:row>
    <x:row r="29" ht="21" customHeight="1">
      <x:c r="A29" s="17" t="n">
        <x:f>'Raw TB'!A29</x:f>
        <x:v>6115</x:v>
      </x:c>
      <x:c r="B29" s="16" t="str">
        <x:f>'Raw TB'!B29</x:f>
        <x:v>Owner salary</x:v>
      </x:c>
      <x:c r="C29" s="2" t="str">
        <x:v>P&amp;L</x:v>
      </x:c>
      <x:c r="D29" s="2" t="str">
        <x:v>Operating Expenses</x:v>
      </x:c>
      <x:c r="E29" s="2" t="str">
        <x:v>Owner salary</x:v>
      </x:c>
      <x:c r="F29" s="9" t="n">
        <x:v>1</x:v>
      </x:c>
    </x:row>
    <x:row r="30" ht="21" customHeight="1">
      <x:c r="A30" s="17" t="n">
        <x:f>'Raw TB'!A30</x:f>
        <x:v>6116</x:v>
      </x:c>
      <x:c r="B30" s="16" t="str">
        <x:f>'Raw TB'!B30</x:f>
        <x:v>Owner bonus</x:v>
      </x:c>
      <x:c r="C30" s="2" t="str">
        <x:v>P&amp;L</x:v>
      </x:c>
      <x:c r="D30" s="2" t="str">
        <x:v>Operating Expenses</x:v>
      </x:c>
      <x:c r="E30" s="2" t="str">
        <x:v>Owner bonus</x:v>
      </x:c>
      <x:c r="F30" s="9" t="n">
        <x:v>1</x:v>
      </x:c>
    </x:row>
    <x:row r="31" ht="21" customHeight="1">
      <x:c r="A31" s="17" t="n">
        <x:f>'Raw TB'!A31</x:f>
        <x:v>6117</x:v>
      </x:c>
      <x:c r="B31" s="16" t="str">
        <x:f>'Raw TB'!B31</x:f>
        <x:v>Owner benefits</x:v>
      </x:c>
      <x:c r="C31" s="2" t="str">
        <x:v>P&amp;L</x:v>
      </x:c>
      <x:c r="D31" s="2" t="str">
        <x:v>Operating Expenses</x:v>
      </x:c>
      <x:c r="E31" s="2" t="str">
        <x:v>Owner benefits</x:v>
      </x:c>
      <x:c r="F31" s="9" t="n">
        <x:v>1</x:v>
      </x:c>
    </x:row>
    <x:row r="32" ht="21" customHeight="1">
      <x:c r="A32" s="17" t="n">
        <x:f>'Raw TB'!A32</x:f>
        <x:v>6120</x:v>
      </x:c>
      <x:c r="B32" s="16" t="str">
        <x:f>'Raw TB'!B32</x:f>
        <x:v>Sales &amp; Marketing</x:v>
      </x:c>
      <x:c r="C32" s="2" t="str">
        <x:v>P&amp;L</x:v>
      </x:c>
      <x:c r="D32" s="2" t="str">
        <x:v>Operating Expenses</x:v>
      </x:c>
      <x:c r="E32" s="2" t="str">
        <x:v>Sales &amp; Marketing</x:v>
      </x:c>
      <x:c r="F32" s="9" t="n">
        <x:v>1</x:v>
      </x:c>
    </x:row>
    <x:row r="33" ht="21" customHeight="1">
      <x:c r="A33" s="17" t="n">
        <x:f>'Raw TB'!A33</x:f>
        <x:v>6125</x:v>
      </x:c>
      <x:c r="B33" s="16" t="str">
        <x:f>'Raw TB'!B33</x:f>
        <x:v>Employee Bonus Expense</x:v>
      </x:c>
      <x:c r="C33" s="2" t="str">
        <x:v>P&amp;L</x:v>
      </x:c>
      <x:c r="D33" s="2" t="str">
        <x:v>Operating Expenses</x:v>
      </x:c>
      <x:c r="E33" s="2" t="str">
        <x:v>Employee Bonus Expense</x:v>
      </x:c>
      <x:c r="F33" s="9" t="n">
        <x:v>1</x:v>
      </x:c>
    </x:row>
    <x:row r="34" ht="21" customHeight="1">
      <x:c r="A34" s="17" t="n">
        <x:f>'Raw TB'!A34</x:f>
        <x:v>6200</x:v>
      </x:c>
      <x:c r="B34" s="16" t="str">
        <x:f>'Raw TB'!B34</x:f>
        <x:v>Insurance</x:v>
      </x:c>
      <x:c r="C34" s="2" t="str">
        <x:v>P&amp;L</x:v>
      </x:c>
      <x:c r="D34" s="2" t="str">
        <x:v>Operating Expenses</x:v>
      </x:c>
      <x:c r="E34" s="2" t="str">
        <x:v>Insurance</x:v>
      </x:c>
      <x:c r="F34" s="9" t="n">
        <x:v>1</x:v>
      </x:c>
    </x:row>
    <x:row r="35" ht="21" customHeight="1">
      <x:c r="A35" s="17" t="n">
        <x:f>'Raw TB'!A35</x:f>
        <x:v>6210</x:v>
      </x:c>
      <x:c r="B35" s="16" t="str">
        <x:f>'Raw TB'!B35</x:f>
        <x:v>Related-Party Rent</x:v>
      </x:c>
      <x:c r="C35" s="2" t="str">
        <x:v>P&amp;L</x:v>
      </x:c>
      <x:c r="D35" s="2" t="str">
        <x:v>Operating Expenses</x:v>
      </x:c>
      <x:c r="E35" s="2" t="str">
        <x:v>Related-Party Rent</x:v>
      </x:c>
      <x:c r="F35" s="9" t="n">
        <x:v>1</x:v>
      </x:c>
    </x:row>
    <x:row r="36" ht="21" customHeight="1">
      <x:c r="A36" s="17" t="n">
        <x:f>'Raw TB'!A36</x:f>
        <x:v>6215</x:v>
      </x:c>
      <x:c r="B36" s="16" t="str">
        <x:f>'Raw TB'!B36</x:f>
        <x:v>Occupancy operating charges</x:v>
      </x:c>
      <x:c r="C36" s="2" t="str">
        <x:v>P&amp;L</x:v>
      </x:c>
      <x:c r="D36" s="2" t="str">
        <x:v>Operating Expenses</x:v>
      </x:c>
      <x:c r="E36" s="2" t="str">
        <x:v>Occupancy operating charges</x:v>
      </x:c>
      <x:c r="F36" s="9" t="n">
        <x:v>1</x:v>
      </x:c>
    </x:row>
    <x:row r="37" ht="21" customHeight="1">
      <x:c r="A37" s="17" t="n">
        <x:f>'Raw TB'!A37</x:f>
        <x:v>6220</x:v>
      </x:c>
      <x:c r="B37" s="16" t="str">
        <x:f>'Raw TB'!B37</x:f>
        <x:v>Vehicle &amp; Fuel</x:v>
      </x:c>
      <x:c r="C37" s="2" t="str">
        <x:v>P&amp;L</x:v>
      </x:c>
      <x:c r="D37" s="2" t="str">
        <x:v>Operating Expenses</x:v>
      </x:c>
      <x:c r="E37" s="2" t="str">
        <x:v>Vehicle &amp; Fuel</x:v>
      </x:c>
      <x:c r="F37" s="9" t="n">
        <x:v>1</x:v>
      </x:c>
    </x:row>
    <x:row r="38" ht="21" customHeight="1">
      <x:c r="A38" s="17" t="n">
        <x:f>'Raw TB'!A38</x:f>
        <x:v>6230</x:v>
      </x:c>
      <x:c r="B38" s="16" t="str">
        <x:f>'Raw TB'!B38</x:f>
        <x:v>Professional Fees</x:v>
      </x:c>
      <x:c r="C38" s="2" t="str">
        <x:v>P&amp;L</x:v>
      </x:c>
      <x:c r="D38" s="2" t="str">
        <x:v>Operating Expenses</x:v>
      </x:c>
      <x:c r="E38" s="2" t="str">
        <x:v>Professional Fees</x:v>
      </x:c>
      <x:c r="F38" s="9" t="n">
        <x:v>1</x:v>
      </x:c>
    </x:row>
    <x:row r="39" ht="21" customHeight="1">
      <x:c r="A39" s="17" t="n">
        <x:f>'Raw TB'!A39</x:f>
        <x:v>6240</x:v>
      </x:c>
      <x:c r="B39" s="16" t="str">
        <x:f>'Raw TB'!B39</x:f>
        <x:v>Software &amp; Office</x:v>
      </x:c>
      <x:c r="C39" s="2" t="str">
        <x:v>P&amp;L</x:v>
      </x:c>
      <x:c r="D39" s="2" t="str">
        <x:v>Operating Expenses</x:v>
      </x:c>
      <x:c r="E39" s="2" t="str">
        <x:v>Software &amp; Office</x:v>
      </x:c>
      <x:c r="F39" s="9" t="n">
        <x:v>1</x:v>
      </x:c>
    </x:row>
    <x:row r="40" ht="21" customHeight="1">
      <x:c r="A40" s="17" t="n">
        <x:f>'Raw TB'!A40</x:f>
        <x:v>6250</x:v>
      </x:c>
      <x:c r="B40" s="16" t="str">
        <x:f>'Raw TB'!B40</x:f>
        <x:v>Recruiting &amp; Training</x:v>
      </x:c>
      <x:c r="C40" s="2" t="str">
        <x:v>P&amp;L</x:v>
      </x:c>
      <x:c r="D40" s="2" t="str">
        <x:v>Operating Expenses</x:v>
      </x:c>
      <x:c r="E40" s="2" t="str">
        <x:v>Recruiting &amp; Training</x:v>
      </x:c>
      <x:c r="F40" s="9" t="n">
        <x:v>1</x:v>
      </x:c>
    </x:row>
    <x:row r="41" ht="21" customHeight="1">
      <x:c r="A41" s="17" t="n">
        <x:f>'Raw TB'!A41</x:f>
        <x:v>6260</x:v>
      </x:c>
      <x:c r="B41" s="16" t="str">
        <x:f>'Raw TB'!B41</x:f>
        <x:v>Utilities &amp; Warehouse</x:v>
      </x:c>
      <x:c r="C41" s="2" t="str">
        <x:v>P&amp;L</x:v>
      </x:c>
      <x:c r="D41" s="2" t="str">
        <x:v>Operating Expenses</x:v>
      </x:c>
      <x:c r="E41" s="2" t="str">
        <x:v>Utilities &amp; Warehouse</x:v>
      </x:c>
      <x:c r="F41" s="9" t="n">
        <x:v>1</x:v>
      </x:c>
    </x:row>
    <x:row r="42" ht="21" customHeight="1">
      <x:c r="A42" s="17" t="n">
        <x:f>'Raw TB'!A42</x:f>
        <x:v>6270</x:v>
      </x:c>
      <x:c r="B42" s="16" t="str">
        <x:f>'Raw TB'!B42</x:f>
        <x:v>Other G&amp;A</x:v>
      </x:c>
      <x:c r="C42" s="2" t="str">
        <x:v>P&amp;L</x:v>
      </x:c>
      <x:c r="D42" s="2" t="str">
        <x:v>Operating Expenses</x:v>
      </x:c>
      <x:c r="E42" s="2" t="str">
        <x:v>Other G&amp;A</x:v>
      </x:c>
      <x:c r="F42" s="9" t="n">
        <x:v>1</x:v>
      </x:c>
    </x:row>
    <x:row r="43" ht="21" customHeight="1">
      <x:c r="A43" s="17" t="n">
        <x:f>'Raw TB'!A43</x:f>
        <x:v>7000</x:v>
      </x:c>
      <x:c r="B43" s="16" t="str">
        <x:f>'Raw TB'!B43</x:f>
        <x:v>Depreciation &amp; Amortization</x:v>
      </x:c>
      <x:c r="C43" s="2" t="str">
        <x:v>P&amp;L</x:v>
      </x:c>
      <x:c r="D43" s="2" t="str">
        <x:v>Below EBITDA</x:v>
      </x:c>
      <x:c r="E43" s="2" t="str">
        <x:v>Depreciation &amp; Amortization</x:v>
      </x:c>
      <x:c r="F43" s="9" t="n">
        <x:v>1</x:v>
      </x:c>
    </x:row>
    <x:row r="44" ht="21" customHeight="1">
      <x:c r="A44" s="17" t="n">
        <x:f>'Raw TB'!A44</x:f>
        <x:v>7100</x:v>
      </x:c>
      <x:c r="B44" s="16" t="str">
        <x:f>'Raw TB'!B44</x:f>
        <x:v>Interest Expense</x:v>
      </x:c>
      <x:c r="C44" s="2" t="str">
        <x:v>P&amp;L</x:v>
      </x:c>
      <x:c r="D44" s="2" t="str">
        <x:v>Below EBITDA</x:v>
      </x:c>
      <x:c r="E44" s="2" t="str">
        <x:v>Interest Expense</x:v>
      </x:c>
      <x:c r="F44" s="9" t="n">
        <x:v>1</x:v>
      </x:c>
    </x:row>
    <x:row r="45" ht="21" customHeight="1">
      <x:c r="A45" s="17" t="n">
        <x:f>'Raw TB'!A45</x:f>
        <x:v>7200</x:v>
      </x:c>
      <x:c r="B45" s="16" t="str">
        <x:f>'Raw TB'!B45</x:f>
        <x:v>Income Tax Expense</x:v>
      </x:c>
      <x:c r="C45" s="2" t="str">
        <x:v>P&amp;L</x:v>
      </x:c>
      <x:c r="D45" s="2" t="str">
        <x:v>Below EBITDA</x:v>
      </x:c>
      <x:c r="E45" s="2" t="str">
        <x:v>Income Tax Expense</x:v>
      </x:c>
      <x:c r="F45" s="9" t="n">
        <x:v>1</x:v>
      </x:c>
    </x:row>
    <x:row r="46" ht="21" customHeight="1">
      <x:c r="A46" s="2"/>
      <x:c r="B46" s="2"/>
      <x:c r="C46" s="2"/>
      <x:c r="D46" s="2"/>
      <x:c r="E46" s="2"/>
      <x:c r="F46" s="2"/>
    </x:row>
    <x:row r="47" ht="21" customHeight="1">
      <x:c r="A47" s="2"/>
      <x:c r="B47" s="2"/>
      <x:c r="C47" s="2"/>
      <x:c r="D47" s="2"/>
      <x:c r="E47" s="2"/>
      <x:c r="F47" s="2"/>
    </x:row>
    <x:row r="48" ht="21" customHeight="1">
      <x:c r="A48" s="2" t="str">
        <x:v>P&amp;L revenues and balance-sheet liabilities/equity flip sign for readable presentation.</x:v>
      </x:c>
      <x:c r="B48" s="2"/>
      <x:c r="C48" s="2"/>
      <x:c r="D48" s="2"/>
      <x:c r="E48" s="2"/>
      <x:c r="F48" s="2"/>
    </x:row>
    <x:row r="49" ht="21" customHeight="1">
      <x:c r="A49" s="2"/>
      <x:c r="B49" s="2"/>
      <x:c r="C49" s="2"/>
      <x:c r="D49" s="2"/>
      <x:c r="E49" s="2"/>
      <x:c r="F49" s="2"/>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4" hidden="0" customWidth="1"/>
    <x:col min="3" max="3" width="12" hidden="0" customWidth="1"/>
    <x:col min="4" max="4" width="24" hidden="0" customWidth="1"/>
    <x:col min="5" max="5" width="3" hidden="0" customWidth="1"/>
    <x:col min="6" max="6" width="3"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ht="9" customHeight="1">
      <x:c r="A1" s="2"/>
      <x:c r="B1" s="2"/>
      <x:c r="C1" s="2"/>
      <x:c r="D1" s="2"/>
      <x:c r="E1" s="2"/>
      <x:c r="F1" s="2"/>
      <x:c r="G1" s="2"/>
      <x:c r="H1" s="2"/>
      <x:c r="I1" s="2"/>
      <x:c r="J1" s="2"/>
      <x:c r="K1" s="2"/>
      <x:c r="L1" s="2"/>
      <x:c r="M1" s="2"/>
      <x:c r="N1" s="2"/>
      <x:c r="O1" s="2"/>
      <x:c r="P1" s="2"/>
      <x:c r="Q1" s="2"/>
      <x:c r="R1" s="2"/>
    </x:row>
    <x:row r="2" ht="21" customHeight="1">
      <x:c r="A2" s="3" t="str">
        <x:v>Monthly mapped trial balance</x:v>
      </x:c>
      <x:c r="B2" s="2"/>
      <x:c r="C2" s="2"/>
      <x:c r="D2" s="2"/>
      <x:c r="E2" s="2"/>
      <x:c r="F2" s="2"/>
      <x:c r="G2" s="2"/>
      <x:c r="H2" s="2"/>
      <x:c r="I2" s="2"/>
      <x:c r="J2" s="2"/>
      <x:c r="K2" s="2"/>
      <x:c r="L2" s="2"/>
      <x:c r="M2" s="2"/>
      <x:c r="N2" s="2"/>
      <x:c r="O2" s="2"/>
      <x:c r="P2" s="2"/>
      <x:c r="Q2" s="2"/>
      <x:c r="R2" s="2"/>
    </x:row>
    <x:row r="3" ht="21" customHeight="1">
      <x:c r="A3" s="4" t="str">
        <x:v>Break Into FDD | $000 | P&amp;L monthly activity; balance sheet month-end | Formula-linked to Raw TB</x:v>
      </x:c>
      <x:c r="B3" s="2"/>
      <x:c r="C3" s="2"/>
      <x:c r="D3" s="2"/>
      <x:c r="E3" s="2"/>
      <x:c r="F3" s="2"/>
      <x:c r="G3" s="2"/>
      <x:c r="H3" s="2"/>
      <x:c r="I3" s="2"/>
      <x:c r="J3" s="2"/>
      <x:c r="K3" s="2"/>
      <x:c r="L3" s="2"/>
      <x:c r="M3" s="2"/>
      <x:c r="N3" s="2"/>
      <x:c r="O3" s="2"/>
      <x:c r="P3" s="2"/>
      <x:c r="Q3" s="2"/>
      <x:c r="R3" s="2"/>
    </x:row>
    <x:row r="4" ht="21" customHeight="1">
      <x:c r="A4" s="2"/>
      <x:c r="B4" s="2"/>
      <x:c r="C4" s="2"/>
      <x:c r="D4" s="2"/>
      <x:c r="E4" s="2"/>
      <x:c r="F4" s="2"/>
      <x:c r="G4" s="2"/>
      <x:c r="H4" s="2"/>
      <x:c r="I4" s="2"/>
      <x:c r="J4" s="2"/>
      <x:c r="K4" s="2"/>
      <x:c r="L4" s="2"/>
      <x:c r="M4" s="2"/>
      <x:c r="N4" s="2"/>
      <x:c r="O4" s="2"/>
      <x:c r="P4" s="2"/>
      <x:c r="Q4" s="2"/>
      <x:c r="R4" s="2"/>
    </x:row>
    <x:row r="5" ht="27" customHeight="1">
      <x:c r="A5" s="7" t="str">
        <x:v>Account</x:v>
      </x:c>
      <x:c r="B5" s="7" t="str">
        <x:v>Account name</x:v>
      </x:c>
      <x:c r="C5" s="7" t="str">
        <x:v>Statement</x:v>
      </x:c>
      <x:c r="D5" s="7" t="str">
        <x:v>Section</x:v>
      </x:c>
      <x:c r="E5" s="18" t="str"/>
      <x:c r="F5" s="18" t="str"/>
      <x:c r="G5" s="8" t="n">
        <x:v>45658</x:v>
      </x:c>
      <x:c r="H5" s="8" t="n">
        <x:v>45689</x:v>
      </x:c>
      <x:c r="I5" s="8" t="n">
        <x:v>45717</x:v>
      </x:c>
      <x:c r="J5" s="8" t="n">
        <x:v>45748</x:v>
      </x:c>
      <x:c r="K5" s="8" t="n">
        <x:v>45778</x:v>
      </x:c>
      <x:c r="L5" s="8" t="n">
        <x:v>45809</x:v>
      </x:c>
      <x:c r="M5" s="8" t="n">
        <x:v>45839</x:v>
      </x:c>
      <x:c r="N5" s="8" t="n">
        <x:v>45870</x:v>
      </x:c>
      <x:c r="O5" s="8" t="n">
        <x:v>45901</x:v>
      </x:c>
      <x:c r="P5" s="8" t="n">
        <x:v>45931</x:v>
      </x:c>
      <x:c r="Q5" s="8" t="n">
        <x:v>45962</x:v>
      </x:c>
      <x:c r="R5" s="8" t="n">
        <x:v>45992</x:v>
      </x:c>
    </x:row>
    <x:row r="6" ht="21" customHeight="1">
      <x:c r="A6" s="17" t="n">
        <x:f>Mapping!A6</x:f>
        <x:v>1000</x:v>
      </x:c>
      <x:c r="B6" s="16" t="str">
        <x:f>Mapping!B6</x:f>
        <x:v>Cash</x:v>
      </x:c>
      <x:c r="C6" s="16" t="str">
        <x:f>Mapping!C6</x:f>
        <x:v>BS</x:v>
      </x:c>
      <x:c r="D6" s="16" t="str">
        <x:f>Mapping!D6</x:f>
        <x:v>Assets</x:v>
      </x:c>
      <x:c r="E6" s="19"/>
      <x:c r="F6" s="19"/>
      <x:c r="G6" s="20" t="n">
        <x:f>IF($C6="P&amp;L",('Raw TB'!C6-0)*Mapping!$F6,'Raw TB'!C6*Mapping!$F6)</x:f>
        <x:v>2070</x:v>
      </x:c>
      <x:c r="H6" s="20" t="n">
        <x:f>IF($C6="P&amp;L",('Raw TB'!D6-'Raw TB'!C6)*Mapping!$F6,'Raw TB'!D6*Mapping!$F6)</x:f>
        <x:v>2029.636</x:v>
      </x:c>
      <x:c r="I6" s="20" t="n">
        <x:f>IF($C6="P&amp;L",('Raw TB'!E6-'Raw TB'!D6)*Mapping!$F6,'Raw TB'!E6*Mapping!$F6)</x:f>
        <x:v>1970.273</x:v>
      </x:c>
      <x:c r="J6" s="20" t="n">
        <x:f>IF($C6="P&amp;L",('Raw TB'!F6-'Raw TB'!E6)*Mapping!$F6,'Raw TB'!F6*Mapping!$F6)</x:f>
        <x:v>1869.909</x:v>
      </x:c>
      <x:c r="K6" s="20" t="n">
        <x:f>IF($C6="P&amp;L",('Raw TB'!G6-'Raw TB'!F6)*Mapping!$F6,'Raw TB'!G6*Mapping!$F6)</x:f>
        <x:v>1900.545</x:v>
      </x:c>
      <x:c r="L6" s="20" t="n">
        <x:f>IF($C6="P&amp;L",('Raw TB'!H6-'Raw TB'!G6)*Mapping!$F6,'Raw TB'!H6*Mapping!$F6)</x:f>
        <x:v>1960.182</x:v>
      </x:c>
      <x:c r="M6" s="20" t="n">
        <x:f>IF($C6="P&amp;L",('Raw TB'!I6-'Raw TB'!H6)*Mapping!$F6,'Raw TB'!I6*Mapping!$F6)</x:f>
        <x:v>2176.818</x:v>
      </x:c>
      <x:c r="N6" s="20" t="n">
        <x:f>IF($C6="P&amp;L",('Raw TB'!J6-'Raw TB'!I6)*Mapping!$F6,'Raw TB'!J6*Mapping!$F6)</x:f>
        <x:v>2315.455</x:v>
      </x:c>
      <x:c r="O6" s="20" t="n">
        <x:f>IF($C6="P&amp;L",('Raw TB'!K6-'Raw TB'!J6)*Mapping!$F6,'Raw TB'!K6*Mapping!$F6)</x:f>
        <x:v>2488.091</x:v>
      </x:c>
      <x:c r="P6" s="20" t="n">
        <x:f>IF($C6="P&amp;L",('Raw TB'!L6-'Raw TB'!K6)*Mapping!$F6,'Raw TB'!L6*Mapping!$F6)</x:f>
        <x:v>2552.727</x:v>
      </x:c>
      <x:c r="Q6" s="20" t="n">
        <x:f>IF($C6="P&amp;L",('Raw TB'!M6-'Raw TB'!L6)*Mapping!$F6,'Raw TB'!M6*Mapping!$F6)</x:f>
        <x:v>2512.364</x:v>
      </x:c>
      <x:c r="R6" s="20" t="n">
        <x:f>IF($C6="P&amp;L",('Raw TB'!N6-'Raw TB'!M6)*Mapping!$F6,'Raw TB'!N6*Mapping!$F6)</x:f>
        <x:v>2755</x:v>
      </x:c>
    </x:row>
    <x:row r="7" ht="21" customHeight="1">
      <x:c r="A7" s="17" t="n">
        <x:f>Mapping!A7</x:f>
        <x:v>1100</x:v>
      </x:c>
      <x:c r="B7" s="16" t="str">
        <x:f>Mapping!B7</x:f>
        <x:v>Accounts Receivable</x:v>
      </x:c>
      <x:c r="C7" s="16" t="str">
        <x:f>Mapping!C7</x:f>
        <x:v>BS</x:v>
      </x:c>
      <x:c r="D7" s="16" t="str">
        <x:f>Mapping!D7</x:f>
        <x:v>Assets</x:v>
      </x:c>
      <x:c r="E7" s="19"/>
      <x:c r="F7" s="19"/>
      <x:c r="G7" s="20" t="n">
        <x:f>IF($C7="P&amp;L",('Raw TB'!C7-0)*Mapping!$F7,'Raw TB'!C7*Mapping!$F7)</x:f>
        <x:v>1740</x:v>
      </x:c>
      <x:c r="H7" s="20" t="n">
        <x:f>IF($C7="P&amp;L",('Raw TB'!D7-'Raw TB'!C7)*Mapping!$F7,'Raw TB'!D7*Mapping!$F7)</x:f>
        <x:v>1812.5</x:v>
      </x:c>
      <x:c r="I7" s="20" t="n">
        <x:f>IF($C7="P&amp;L",('Raw TB'!E7-'Raw TB'!D7)*Mapping!$F7,'Raw TB'!E7*Mapping!$F7)</x:f>
        <x:v>1957.5</x:v>
      </x:c>
      <x:c r="J7" s="20" t="n">
        <x:f>IF($C7="P&amp;L",('Raw TB'!F7-'Raw TB'!E7)*Mapping!$F7,'Raw TB'!F7*Mapping!$F7)</x:f>
        <x:v>2102.5</x:v>
      </x:c>
      <x:c r="K7" s="20" t="n">
        <x:f>IF($C7="P&amp;L",('Raw TB'!G7-'Raw TB'!F7)*Mapping!$F7,'Raw TB'!G7*Mapping!$F7)</x:f>
        <x:v>2247.5</x:v>
      </x:c>
      <x:c r="L7" s="20" t="n">
        <x:f>IF($C7="P&amp;L",('Raw TB'!H7-'Raw TB'!G7)*Mapping!$F7,'Raw TB'!H7*Mapping!$F7)</x:f>
        <x:v>2392.5</x:v>
      </x:c>
      <x:c r="M7" s="20" t="n">
        <x:f>IF($C7="P&amp;L",('Raw TB'!I7-'Raw TB'!H7)*Mapping!$F7,'Raw TB'!I7*Mapping!$F7)</x:f>
        <x:v>2320</x:v>
      </x:c>
      <x:c r="N7" s="20" t="n">
        <x:f>IF($C7="P&amp;L",('Raw TB'!J7-'Raw TB'!I7)*Mapping!$F7,'Raw TB'!J7*Mapping!$F7)</x:f>
        <x:v>2247.5</x:v>
      </x:c>
      <x:c r="O7" s="20" t="n">
        <x:f>IF($C7="P&amp;L",('Raw TB'!K7-'Raw TB'!J7)*Mapping!$F7,'Raw TB'!K7*Mapping!$F7)</x:f>
        <x:v>2175</x:v>
      </x:c>
      <x:c r="P7" s="20" t="n">
        <x:f>IF($C7="P&amp;L",('Raw TB'!L7-'Raw TB'!K7)*Mapping!$F7,'Raw TB'!L7*Mapping!$F7)</x:f>
        <x:v>2247.5</x:v>
      </x:c>
      <x:c r="Q7" s="20" t="n">
        <x:f>IF($C7="P&amp;L",('Raw TB'!M7-'Raw TB'!L7)*Mapping!$F7,'Raw TB'!M7*Mapping!$F7)</x:f>
        <x:v>2465</x:v>
      </x:c>
      <x:c r="R7" s="20" t="n">
        <x:f>IF($C7="P&amp;L",('Raw TB'!N7-'Raw TB'!M7)*Mapping!$F7,'Raw TB'!N7*Mapping!$F7)</x:f>
        <x:v>2392.5</x:v>
      </x:c>
    </x:row>
    <x:row r="8" ht="21" customHeight="1">
      <x:c r="A8" s="17" t="n">
        <x:f>Mapping!A8</x:f>
        <x:v>1150</x:v>
      </x:c>
      <x:c r="B8" s="16" t="str">
        <x:f>Mapping!B8</x:f>
        <x:v>Other Receivables</x:v>
      </x:c>
      <x:c r="C8" s="16" t="str">
        <x:f>Mapping!C8</x:f>
        <x:v>BS</x:v>
      </x:c>
      <x:c r="D8" s="16" t="str">
        <x:f>Mapping!D8</x:f>
        <x:v>Assets</x:v>
      </x:c>
      <x:c r="E8" s="19"/>
      <x:c r="F8" s="19"/>
      <x:c r="G8" s="20" t="n">
        <x:f>IF($C8="P&amp;L",('Raw TB'!C8-0)*Mapping!$F8,'Raw TB'!C8*Mapping!$F8)</x:f>
        <x:v>45</x:v>
      </x:c>
      <x:c r="H8" s="20" t="n">
        <x:f>IF($C8="P&amp;L",('Raw TB'!D8-'Raw TB'!C8)*Mapping!$F8,'Raw TB'!D8*Mapping!$F8)</x:f>
        <x:v>48</x:v>
      </x:c>
      <x:c r="I8" s="20" t="n">
        <x:f>IF($C8="P&amp;L",('Raw TB'!E8-'Raw TB'!D8)*Mapping!$F8,'Raw TB'!E8*Mapping!$F8)</x:f>
        <x:v>50</x:v>
      </x:c>
      <x:c r="J8" s="20" t="n">
        <x:f>IF($C8="P&amp;L",('Raw TB'!F8-'Raw TB'!E8)*Mapping!$F8,'Raw TB'!F8*Mapping!$F8)</x:f>
        <x:v>52</x:v>
      </x:c>
      <x:c r="K8" s="20" t="n">
        <x:f>IF($C8="P&amp;L",('Raw TB'!G8-'Raw TB'!F8)*Mapping!$F8,'Raw TB'!G8*Mapping!$F8)</x:f>
        <x:v>49</x:v>
      </x:c>
      <x:c r="L8" s="20" t="n">
        <x:f>IF($C8="P&amp;L",('Raw TB'!H8-'Raw TB'!G8)*Mapping!$F8,'Raw TB'!H8*Mapping!$F8)</x:f>
        <x:v>51</x:v>
      </x:c>
      <x:c r="M8" s="20" t="n">
        <x:f>IF($C8="P&amp;L",('Raw TB'!I8-'Raw TB'!H8)*Mapping!$F8,'Raw TB'!I8*Mapping!$F8)</x:f>
        <x:v>54</x:v>
      </x:c>
      <x:c r="N8" s="20" t="n">
        <x:f>IF($C8="P&amp;L",('Raw TB'!J8-'Raw TB'!I8)*Mapping!$F8,'Raw TB'!J8*Mapping!$F8)</x:f>
        <x:v>53</x:v>
      </x:c>
      <x:c r="O8" s="20" t="n">
        <x:f>IF($C8="P&amp;L",('Raw TB'!K8-'Raw TB'!J8)*Mapping!$F8,'Raw TB'!K8*Mapping!$F8)</x:f>
        <x:v>55</x:v>
      </x:c>
      <x:c r="P8" s="20" t="n">
        <x:f>IF($C8="P&amp;L",('Raw TB'!L8-'Raw TB'!K8)*Mapping!$F8,'Raw TB'!L8*Mapping!$F8)</x:f>
        <x:v>58</x:v>
      </x:c>
      <x:c r="Q8" s="20" t="n">
        <x:f>IF($C8="P&amp;L",('Raw TB'!M8-'Raw TB'!L8)*Mapping!$F8,'Raw TB'!M8*Mapping!$F8)</x:f>
        <x:v>60</x:v>
      </x:c>
      <x:c r="R8" s="20" t="n">
        <x:f>IF($C8="P&amp;L",('Raw TB'!N8-'Raw TB'!M8)*Mapping!$F8,'Raw TB'!N8*Mapping!$F8)</x:f>
        <x:v>62</x:v>
      </x:c>
    </x:row>
    <x:row r="9" ht="21" customHeight="1">
      <x:c r="A9" s="17" t="n">
        <x:f>Mapping!A9</x:f>
        <x:v>1200</x:v>
      </x:c>
      <x:c r="B9" s="16" t="str">
        <x:f>Mapping!B9</x:f>
        <x:v>Prepaid Expenses</x:v>
      </x:c>
      <x:c r="C9" s="16" t="str">
        <x:f>Mapping!C9</x:f>
        <x:v>BS</x:v>
      </x:c>
      <x:c r="D9" s="16" t="str">
        <x:f>Mapping!D9</x:f>
        <x:v>Assets</x:v>
      </x:c>
      <x:c r="E9" s="19"/>
      <x:c r="F9" s="19"/>
      <x:c r="G9" s="20" t="n">
        <x:f>IF($C9="P&amp;L",('Raw TB'!C9-0)*Mapping!$F9,'Raw TB'!C9*Mapping!$F9)</x:f>
        <x:v>110</x:v>
      </x:c>
      <x:c r="H9" s="20" t="n">
        <x:f>IF($C9="P&amp;L",('Raw TB'!D9-'Raw TB'!C9)*Mapping!$F9,'Raw TB'!D9*Mapping!$F9)</x:f>
        <x:v>105</x:v>
      </x:c>
      <x:c r="I9" s="20" t="n">
        <x:f>IF($C9="P&amp;L",('Raw TB'!E9-'Raw TB'!D9)*Mapping!$F9,'Raw TB'!E9*Mapping!$F9)</x:f>
        <x:v>100</x:v>
      </x:c>
      <x:c r="J9" s="20" t="n">
        <x:f>IF($C9="P&amp;L",('Raw TB'!F9-'Raw TB'!E9)*Mapping!$F9,'Raw TB'!F9*Mapping!$F9)</x:f>
        <x:v>125</x:v>
      </x:c>
      <x:c r="K9" s="20" t="n">
        <x:f>IF($C9="P&amp;L",('Raw TB'!G9-'Raw TB'!F9)*Mapping!$F9,'Raw TB'!G9*Mapping!$F9)</x:f>
        <x:v>118</x:v>
      </x:c>
      <x:c r="L9" s="20" t="n">
        <x:f>IF($C9="P&amp;L",('Raw TB'!H9-'Raw TB'!G9)*Mapping!$F9,'Raw TB'!H9*Mapping!$F9)</x:f>
        <x:v>112</x:v>
      </x:c>
      <x:c r="M9" s="20" t="n">
        <x:f>IF($C9="P&amp;L",('Raw TB'!I9-'Raw TB'!H9)*Mapping!$F9,'Raw TB'!I9*Mapping!$F9)</x:f>
        <x:v>108</x:v>
      </x:c>
      <x:c r="N9" s="20" t="n">
        <x:f>IF($C9="P&amp;L",('Raw TB'!J9-'Raw TB'!I9)*Mapping!$F9,'Raw TB'!J9*Mapping!$F9)</x:f>
        <x:v>115</x:v>
      </x:c>
      <x:c r="O9" s="20" t="n">
        <x:f>IF($C9="P&amp;L",('Raw TB'!K9-'Raw TB'!J9)*Mapping!$F9,'Raw TB'!K9*Mapping!$F9)</x:f>
        <x:v>120</x:v>
      </x:c>
      <x:c r="P9" s="20" t="n">
        <x:f>IF($C9="P&amp;L",('Raw TB'!L9-'Raw TB'!K9)*Mapping!$F9,'Raw TB'!L9*Mapping!$F9)</x:f>
        <x:v>126</x:v>
      </x:c>
      <x:c r="Q9" s="20" t="n">
        <x:f>IF($C9="P&amp;L",('Raw TB'!M9-'Raw TB'!L9)*Mapping!$F9,'Raw TB'!M9*Mapping!$F9)</x:f>
        <x:v>132</x:v>
      </x:c>
      <x:c r="R9" s="20" t="n">
        <x:f>IF($C9="P&amp;L",('Raw TB'!N9-'Raw TB'!M9)*Mapping!$F9,'Raw TB'!N9*Mapping!$F9)</x:f>
        <x:v>140</x:v>
      </x:c>
    </x:row>
    <x:row r="10" ht="21" customHeight="1">
      <x:c r="A10" s="17" t="n">
        <x:f>Mapping!A10</x:f>
        <x:v>1300</x:v>
      </x:c>
      <x:c r="B10" s="16" t="str">
        <x:f>Mapping!B10</x:f>
        <x:v>Supplies Inventory</x:v>
      </x:c>
      <x:c r="C10" s="16" t="str">
        <x:f>Mapping!C10</x:f>
        <x:v>BS</x:v>
      </x:c>
      <x:c r="D10" s="16" t="str">
        <x:f>Mapping!D10</x:f>
        <x:v>Assets</x:v>
      </x:c>
      <x:c r="E10" s="19"/>
      <x:c r="F10" s="19"/>
      <x:c r="G10" s="20" t="n">
        <x:f>IF($C10="P&amp;L",('Raw TB'!C10-0)*Mapping!$F10,'Raw TB'!C10*Mapping!$F10)</x:f>
        <x:v>75</x:v>
      </x:c>
      <x:c r="H10" s="20" t="n">
        <x:f>IF($C10="P&amp;L",('Raw TB'!D10-'Raw TB'!C10)*Mapping!$F10,'Raw TB'!D10*Mapping!$F10)</x:f>
        <x:v>78</x:v>
      </x:c>
      <x:c r="I10" s="20" t="n">
        <x:f>IF($C10="P&amp;L",('Raw TB'!E10-'Raw TB'!D10)*Mapping!$F10,'Raw TB'!E10*Mapping!$F10)</x:f>
        <x:v>82</x:v>
      </x:c>
      <x:c r="J10" s="20" t="n">
        <x:f>IF($C10="P&amp;L",('Raw TB'!F10-'Raw TB'!E10)*Mapping!$F10,'Raw TB'!F10*Mapping!$F10)</x:f>
        <x:v>84</x:v>
      </x:c>
      <x:c r="K10" s="20" t="n">
        <x:f>IF($C10="P&amp;L",('Raw TB'!G10-'Raw TB'!F10)*Mapping!$F10,'Raw TB'!G10*Mapping!$F10)</x:f>
        <x:v>87</x:v>
      </x:c>
      <x:c r="L10" s="20" t="n">
        <x:f>IF($C10="P&amp;L",('Raw TB'!H10-'Raw TB'!G10)*Mapping!$F10,'Raw TB'!H10*Mapping!$F10)</x:f>
        <x:v>90</x:v>
      </x:c>
      <x:c r="M10" s="20" t="n">
        <x:f>IF($C10="P&amp;L",('Raw TB'!I10-'Raw TB'!H10)*Mapping!$F10,'Raw TB'!I10*Mapping!$F10)</x:f>
        <x:v>92</x:v>
      </x:c>
      <x:c r="N10" s="20" t="n">
        <x:f>IF($C10="P&amp;L",('Raw TB'!J10-'Raw TB'!I10)*Mapping!$F10,'Raw TB'!J10*Mapping!$F10)</x:f>
        <x:v>90</x:v>
      </x:c>
      <x:c r="O10" s="20" t="n">
        <x:f>IF($C10="P&amp;L",('Raw TB'!K10-'Raw TB'!J10)*Mapping!$F10,'Raw TB'!K10*Mapping!$F10)</x:f>
        <x:v>88</x:v>
      </x:c>
      <x:c r="P10" s="20" t="n">
        <x:f>IF($C10="P&amp;L",('Raw TB'!L10-'Raw TB'!K10)*Mapping!$F10,'Raw TB'!L10*Mapping!$F10)</x:f>
        <x:v>91</x:v>
      </x:c>
      <x:c r="Q10" s="20" t="n">
        <x:f>IF($C10="P&amp;L",('Raw TB'!M10-'Raw TB'!L10)*Mapping!$F10,'Raw TB'!M10*Mapping!$F10)</x:f>
        <x:v>95</x:v>
      </x:c>
      <x:c r="R10" s="20" t="n">
        <x:f>IF($C10="P&amp;L",('Raw TB'!N10-'Raw TB'!M10)*Mapping!$F10,'Raw TB'!N10*Mapping!$F10)</x:f>
        <x:v>98</x:v>
      </x:c>
    </x:row>
    <x:row r="11" ht="21" customHeight="1">
      <x:c r="A11" s="17" t="n">
        <x:f>Mapping!A11</x:f>
        <x:v>1500</x:v>
      </x:c>
      <x:c r="B11" s="16" t="str">
        <x:f>Mapping!B11</x:f>
        <x:v>Property &amp; Equipment</x:v>
      </x:c>
      <x:c r="C11" s="16" t="str">
        <x:f>Mapping!C11</x:f>
        <x:v>BS</x:v>
      </x:c>
      <x:c r="D11" s="16" t="str">
        <x:f>Mapping!D11</x:f>
        <x:v>Assets</x:v>
      </x:c>
      <x:c r="E11" s="19"/>
      <x:c r="F11" s="19"/>
      <x:c r="G11" s="20" t="n">
        <x:f>IF($C11="P&amp;L",('Raw TB'!C11-0)*Mapping!$F11,'Raw TB'!C11*Mapping!$F11)</x:f>
        <x:v>2825</x:v>
      </x:c>
      <x:c r="H11" s="20" t="n">
        <x:f>IF($C11="P&amp;L",('Raw TB'!D11-'Raw TB'!C11)*Mapping!$F11,'Raw TB'!D11*Mapping!$F11)</x:f>
        <x:v>2850</x:v>
      </x:c>
      <x:c r="I11" s="20" t="n">
        <x:f>IF($C11="P&amp;L",('Raw TB'!E11-'Raw TB'!D11)*Mapping!$F11,'Raw TB'!E11*Mapping!$F11)</x:f>
        <x:v>2875</x:v>
      </x:c>
      <x:c r="J11" s="20" t="n">
        <x:f>IF($C11="P&amp;L",('Raw TB'!F11-'Raw TB'!E11)*Mapping!$F11,'Raw TB'!F11*Mapping!$F11)</x:f>
        <x:v>2900</x:v>
      </x:c>
      <x:c r="K11" s="20" t="n">
        <x:f>IF($C11="P&amp;L",('Raw TB'!G11-'Raw TB'!F11)*Mapping!$F11,'Raw TB'!G11*Mapping!$F11)</x:f>
        <x:v>2925</x:v>
      </x:c>
      <x:c r="L11" s="20" t="n">
        <x:f>IF($C11="P&amp;L",('Raw TB'!H11-'Raw TB'!G11)*Mapping!$F11,'Raw TB'!H11*Mapping!$F11)</x:f>
        <x:v>2950</x:v>
      </x:c>
      <x:c r="M11" s="20" t="n">
        <x:f>IF($C11="P&amp;L",('Raw TB'!I11-'Raw TB'!H11)*Mapping!$F11,'Raw TB'!I11*Mapping!$F11)</x:f>
        <x:v>2975</x:v>
      </x:c>
      <x:c r="N11" s="20" t="n">
        <x:f>IF($C11="P&amp;L",('Raw TB'!J11-'Raw TB'!I11)*Mapping!$F11,'Raw TB'!J11*Mapping!$F11)</x:f>
        <x:v>3000</x:v>
      </x:c>
      <x:c r="O11" s="20" t="n">
        <x:f>IF($C11="P&amp;L",('Raw TB'!K11-'Raw TB'!J11)*Mapping!$F11,'Raw TB'!K11*Mapping!$F11)</x:f>
        <x:v>3025</x:v>
      </x:c>
      <x:c r="P11" s="20" t="n">
        <x:f>IF($C11="P&amp;L",('Raw TB'!L11-'Raw TB'!K11)*Mapping!$F11,'Raw TB'!L11*Mapping!$F11)</x:f>
        <x:v>3050</x:v>
      </x:c>
      <x:c r="Q11" s="20" t="n">
        <x:f>IF($C11="P&amp;L",('Raw TB'!M11-'Raw TB'!L11)*Mapping!$F11,'Raw TB'!M11*Mapping!$F11)</x:f>
        <x:v>3075</x:v>
      </x:c>
      <x:c r="R11" s="20" t="n">
        <x:f>IF($C11="P&amp;L",('Raw TB'!N11-'Raw TB'!M11)*Mapping!$F11,'Raw TB'!N11*Mapping!$F11)</x:f>
        <x:v>3100</x:v>
      </x:c>
    </x:row>
    <x:row r="12" ht="21" customHeight="1">
      <x:c r="A12" s="17" t="n">
        <x:f>Mapping!A12</x:f>
        <x:v>1510</x:v>
      </x:c>
      <x:c r="B12" s="16" t="str">
        <x:f>Mapping!B12</x:f>
        <x:v>Accumulated Depreciation</x:v>
      </x:c>
      <x:c r="C12" s="16" t="str">
        <x:f>Mapping!C12</x:f>
        <x:v>BS</x:v>
      </x:c>
      <x:c r="D12" s="16" t="str">
        <x:f>Mapping!D12</x:f>
        <x:v>Assets</x:v>
      </x:c>
      <x:c r="E12" s="19"/>
      <x:c r="F12" s="19"/>
      <x:c r="G12" s="20" t="n">
        <x:f>IF($C12="P&amp;L",('Raw TB'!C12-0)*Mapping!$F12,'Raw TB'!C12*Mapping!$F12)</x:f>
        <x:v>-1025</x:v>
      </x:c>
      <x:c r="H12" s="20" t="n">
        <x:f>IF($C12="P&amp;L",('Raw TB'!D12-'Raw TB'!C12)*Mapping!$F12,'Raw TB'!D12*Mapping!$F12)</x:f>
        <x:v>-1050</x:v>
      </x:c>
      <x:c r="I12" s="20" t="n">
        <x:f>IF($C12="P&amp;L",('Raw TB'!E12-'Raw TB'!D12)*Mapping!$F12,'Raw TB'!E12*Mapping!$F12)</x:f>
        <x:v>-1075</x:v>
      </x:c>
      <x:c r="J12" s="20" t="n">
        <x:f>IF($C12="P&amp;L",('Raw TB'!F12-'Raw TB'!E12)*Mapping!$F12,'Raw TB'!F12*Mapping!$F12)</x:f>
        <x:v>-1100</x:v>
      </x:c>
      <x:c r="K12" s="20" t="n">
        <x:f>IF($C12="P&amp;L",('Raw TB'!G12-'Raw TB'!F12)*Mapping!$F12,'Raw TB'!G12*Mapping!$F12)</x:f>
        <x:v>-1125</x:v>
      </x:c>
      <x:c r="L12" s="20" t="n">
        <x:f>IF($C12="P&amp;L",('Raw TB'!H12-'Raw TB'!G12)*Mapping!$F12,'Raw TB'!H12*Mapping!$F12)</x:f>
        <x:v>-1150</x:v>
      </x:c>
      <x:c r="M12" s="20" t="n">
        <x:f>IF($C12="P&amp;L",('Raw TB'!I12-'Raw TB'!H12)*Mapping!$F12,'Raw TB'!I12*Mapping!$F12)</x:f>
        <x:v>-1175</x:v>
      </x:c>
      <x:c r="N12" s="20" t="n">
        <x:f>IF($C12="P&amp;L",('Raw TB'!J12-'Raw TB'!I12)*Mapping!$F12,'Raw TB'!J12*Mapping!$F12)</x:f>
        <x:v>-1200</x:v>
      </x:c>
      <x:c r="O12" s="20" t="n">
        <x:f>IF($C12="P&amp;L",('Raw TB'!K12-'Raw TB'!J12)*Mapping!$F12,'Raw TB'!K12*Mapping!$F12)</x:f>
        <x:v>-1225</x:v>
      </x:c>
      <x:c r="P12" s="20" t="n">
        <x:f>IF($C12="P&amp;L",('Raw TB'!L12-'Raw TB'!K12)*Mapping!$F12,'Raw TB'!L12*Mapping!$F12)</x:f>
        <x:v>-1250</x:v>
      </x:c>
      <x:c r="Q12" s="20" t="n">
        <x:f>IF($C12="P&amp;L",('Raw TB'!M12-'Raw TB'!L12)*Mapping!$F12,'Raw TB'!M12*Mapping!$F12)</x:f>
        <x:v>-1275</x:v>
      </x:c>
      <x:c r="R12" s="20" t="n">
        <x:f>IF($C12="P&amp;L",('Raw TB'!N12-'Raw TB'!M12)*Mapping!$F12,'Raw TB'!N12*Mapping!$F12)</x:f>
        <x:v>-1300</x:v>
      </x:c>
    </x:row>
    <x:row r="13" ht="21" customHeight="1">
      <x:c r="A13" s="17" t="n">
        <x:f>Mapping!A13</x:f>
        <x:v>2000</x:v>
      </x:c>
      <x:c r="B13" s="16" t="str">
        <x:f>Mapping!B13</x:f>
        <x:v>Accounts Payable</x:v>
      </x:c>
      <x:c r="C13" s="16" t="str">
        <x:f>Mapping!C13</x:f>
        <x:v>BS</x:v>
      </x:c>
      <x:c r="D13" s="16" t="str">
        <x:f>Mapping!D13</x:f>
        <x:v>Liabilities</x:v>
      </x:c>
      <x:c r="E13" s="19"/>
      <x:c r="F13" s="19"/>
      <x:c r="G13" s="20" t="n">
        <x:f>IF($C13="P&amp;L",('Raw TB'!C13-0)*Mapping!$F13,'Raw TB'!C13*Mapping!$F13)</x:f>
        <x:v>578</x:v>
      </x:c>
      <x:c r="H13" s="20" t="n">
        <x:f>IF($C13="P&amp;L",('Raw TB'!D13-'Raw TB'!C13)*Mapping!$F13,'Raw TB'!D13*Mapping!$F13)</x:f>
        <x:v>582.5</x:v>
      </x:c>
      <x:c r="I13" s="20" t="n">
        <x:f>IF($C13="P&amp;L",('Raw TB'!E13-'Raw TB'!D13)*Mapping!$F13,'Raw TB'!E13*Mapping!$F13)</x:f>
        <x:v>591.5</x:v>
      </x:c>
      <x:c r="J13" s="20" t="n">
        <x:f>IF($C13="P&amp;L",('Raw TB'!F13-'Raw TB'!E13)*Mapping!$F13,'Raw TB'!F13*Mapping!$F13)</x:f>
        <x:v>600.5</x:v>
      </x:c>
      <x:c r="K13" s="20" t="n">
        <x:f>IF($C13="P&amp;L",('Raw TB'!G13-'Raw TB'!F13)*Mapping!$F13,'Raw TB'!G13*Mapping!$F13)</x:f>
        <x:v>609.5</x:v>
      </x:c>
      <x:c r="L13" s="20" t="n">
        <x:f>IF($C13="P&amp;L",('Raw TB'!H13-'Raw TB'!G13)*Mapping!$F13,'Raw TB'!H13*Mapping!$F13)</x:f>
        <x:v>618.5</x:v>
      </x:c>
      <x:c r="M13" s="20" t="n">
        <x:f>IF($C13="P&amp;L",('Raw TB'!I13-'Raw TB'!H13)*Mapping!$F13,'Raw TB'!I13*Mapping!$F13)</x:f>
        <x:v>614</x:v>
      </x:c>
      <x:c r="N13" s="20" t="n">
        <x:f>IF($C13="P&amp;L",('Raw TB'!J13-'Raw TB'!I13)*Mapping!$F13,'Raw TB'!J13*Mapping!$F13)</x:f>
        <x:v>609.5</x:v>
      </x:c>
      <x:c r="O13" s="20" t="n">
        <x:f>IF($C13="P&amp;L",('Raw TB'!K13-'Raw TB'!J13)*Mapping!$F13,'Raw TB'!K13*Mapping!$F13)</x:f>
        <x:v>605</x:v>
      </x:c>
      <x:c r="P13" s="20" t="n">
        <x:f>IF($C13="P&amp;L",('Raw TB'!L13-'Raw TB'!K13)*Mapping!$F13,'Raw TB'!L13*Mapping!$F13)</x:f>
        <x:v>609.5</x:v>
      </x:c>
      <x:c r="Q13" s="20" t="n">
        <x:f>IF($C13="P&amp;L",('Raw TB'!M13-'Raw TB'!L13)*Mapping!$F13,'Raw TB'!M13*Mapping!$F13)</x:f>
        <x:v>623</x:v>
      </x:c>
      <x:c r="R13" s="20" t="n">
        <x:f>IF($C13="P&amp;L",('Raw TB'!N13-'Raw TB'!M13)*Mapping!$F13,'Raw TB'!N13*Mapping!$F13)</x:f>
        <x:v>618.5</x:v>
      </x:c>
    </x:row>
    <x:row r="14" ht="21" customHeight="1">
      <x:c r="A14" s="17" t="n">
        <x:f>Mapping!A14</x:f>
        <x:v>2100</x:v>
      </x:c>
      <x:c r="B14" s="16" t="str">
        <x:f>Mapping!B14</x:f>
        <x:v>Accrued Payroll</x:v>
      </x:c>
      <x:c r="C14" s="16" t="str">
        <x:f>Mapping!C14</x:f>
        <x:v>BS</x:v>
      </x:c>
      <x:c r="D14" s="16" t="str">
        <x:f>Mapping!D14</x:f>
        <x:v>Liabilities</x:v>
      </x:c>
      <x:c r="E14" s="19"/>
      <x:c r="F14" s="19"/>
      <x:c r="G14" s="20" t="n">
        <x:f>IF($C14="P&amp;L",('Raw TB'!C14-0)*Mapping!$F14,'Raw TB'!C14*Mapping!$F14)</x:f>
        <x:v>492</x:v>
      </x:c>
      <x:c r="H14" s="20" t="n">
        <x:f>IF($C14="P&amp;L",('Raw TB'!D14-'Raw TB'!C14)*Mapping!$F14,'Raw TB'!D14*Mapping!$F14)</x:f>
        <x:v>495</x:v>
      </x:c>
      <x:c r="I14" s="20" t="n">
        <x:f>IF($C14="P&amp;L",('Raw TB'!E14-'Raw TB'!D14)*Mapping!$F14,'Raw TB'!E14*Mapping!$F14)</x:f>
        <x:v>501</x:v>
      </x:c>
      <x:c r="J14" s="20" t="n">
        <x:f>IF($C14="P&amp;L",('Raw TB'!F14-'Raw TB'!E14)*Mapping!$F14,'Raw TB'!F14*Mapping!$F14)</x:f>
        <x:v>507</x:v>
      </x:c>
      <x:c r="K14" s="20" t="n">
        <x:f>IF($C14="P&amp;L",('Raw TB'!G14-'Raw TB'!F14)*Mapping!$F14,'Raw TB'!G14*Mapping!$F14)</x:f>
        <x:v>513</x:v>
      </x:c>
      <x:c r="L14" s="20" t="n">
        <x:f>IF($C14="P&amp;L",('Raw TB'!H14-'Raw TB'!G14)*Mapping!$F14,'Raw TB'!H14*Mapping!$F14)</x:f>
        <x:v>519</x:v>
      </x:c>
      <x:c r="M14" s="20" t="n">
        <x:f>IF($C14="P&amp;L",('Raw TB'!I14-'Raw TB'!H14)*Mapping!$F14,'Raw TB'!I14*Mapping!$F14)</x:f>
        <x:v>516</x:v>
      </x:c>
      <x:c r="N14" s="20" t="n">
        <x:f>IF($C14="P&amp;L",('Raw TB'!J14-'Raw TB'!I14)*Mapping!$F14,'Raw TB'!J14*Mapping!$F14)</x:f>
        <x:v>513</x:v>
      </x:c>
      <x:c r="O14" s="20" t="n">
        <x:f>IF($C14="P&amp;L",('Raw TB'!K14-'Raw TB'!J14)*Mapping!$F14,'Raw TB'!K14*Mapping!$F14)</x:f>
        <x:v>510</x:v>
      </x:c>
      <x:c r="P14" s="20" t="n">
        <x:f>IF($C14="P&amp;L",('Raw TB'!L14-'Raw TB'!K14)*Mapping!$F14,'Raw TB'!L14*Mapping!$F14)</x:f>
        <x:v>513</x:v>
      </x:c>
      <x:c r="Q14" s="20" t="n">
        <x:f>IF($C14="P&amp;L",('Raw TB'!M14-'Raw TB'!L14)*Mapping!$F14,'Raw TB'!M14*Mapping!$F14)</x:f>
        <x:v>522</x:v>
      </x:c>
      <x:c r="R14" s="20" t="n">
        <x:f>IF($C14="P&amp;L",('Raw TB'!N14-'Raw TB'!M14)*Mapping!$F14,'Raw TB'!N14*Mapping!$F14)</x:f>
        <x:v>519</x:v>
      </x:c>
    </x:row>
    <x:row r="15" ht="21" customHeight="1">
      <x:c r="A15" s="17" t="n">
        <x:f>Mapping!A15</x:f>
        <x:v>2110</x:v>
      </x:c>
      <x:c r="B15" s="16" t="str">
        <x:f>Mapping!B15</x:f>
        <x:v>Accrued Bonuses</x:v>
      </x:c>
      <x:c r="C15" s="16" t="str">
        <x:f>Mapping!C15</x:f>
        <x:v>BS</x:v>
      </x:c>
      <x:c r="D15" s="16" t="str">
        <x:f>Mapping!D15</x:f>
        <x:v>Liabilities</x:v>
      </x:c>
      <x:c r="E15" s="19"/>
      <x:c r="F15" s="19"/>
      <x:c r="G15" s="20" t="n">
        <x:f>IF($C15="P&amp;L",('Raw TB'!C15-0)*Mapping!$F15,'Raw TB'!C15*Mapping!$F15)</x:f>
        <x:v>30</x:v>
      </x:c>
      <x:c r="H15" s="20" t="n">
        <x:f>IF($C15="P&amp;L",('Raw TB'!D15-'Raw TB'!C15)*Mapping!$F15,'Raw TB'!D15*Mapping!$F15)</x:f>
        <x:v>30</x:v>
      </x:c>
      <x:c r="I15" s="20" t="n">
        <x:f>IF($C15="P&amp;L",('Raw TB'!E15-'Raw TB'!D15)*Mapping!$F15,'Raw TB'!E15*Mapping!$F15)</x:f>
        <x:v>35</x:v>
      </x:c>
      <x:c r="J15" s="20" t="n">
        <x:f>IF($C15="P&amp;L",('Raw TB'!F15-'Raw TB'!E15)*Mapping!$F15,'Raw TB'!F15*Mapping!$F15)</x:f>
        <x:v>35</x:v>
      </x:c>
      <x:c r="K15" s="20" t="n">
        <x:f>IF($C15="P&amp;L",('Raw TB'!G15-'Raw TB'!F15)*Mapping!$F15,'Raw TB'!G15*Mapping!$F15)</x:f>
        <x:v>40</x:v>
      </x:c>
      <x:c r="L15" s="20" t="n">
        <x:f>IF($C15="P&amp;L",('Raw TB'!H15-'Raw TB'!G15)*Mapping!$F15,'Raw TB'!H15*Mapping!$F15)</x:f>
        <x:v>40</x:v>
      </x:c>
      <x:c r="M15" s="20" t="n">
        <x:f>IF($C15="P&amp;L",('Raw TB'!I15-'Raw TB'!H15)*Mapping!$F15,'Raw TB'!I15*Mapping!$F15)</x:f>
        <x:v>45</x:v>
      </x:c>
      <x:c r="N15" s="20" t="n">
        <x:f>IF($C15="P&amp;L",('Raw TB'!J15-'Raw TB'!I15)*Mapping!$F15,'Raw TB'!J15*Mapping!$F15)</x:f>
        <x:v>45</x:v>
      </x:c>
      <x:c r="O15" s="20" t="n">
        <x:f>IF($C15="P&amp;L",('Raw TB'!K15-'Raw TB'!J15)*Mapping!$F15,'Raw TB'!K15*Mapping!$F15)</x:f>
        <x:v>50</x:v>
      </x:c>
      <x:c r="P15" s="20" t="n">
        <x:f>IF($C15="P&amp;L",('Raw TB'!L15-'Raw TB'!K15)*Mapping!$F15,'Raw TB'!L15*Mapping!$F15)</x:f>
        <x:v>50</x:v>
      </x:c>
      <x:c r="Q15" s="20" t="n">
        <x:f>IF($C15="P&amp;L",('Raw TB'!M15-'Raw TB'!L15)*Mapping!$F15,'Raw TB'!M15*Mapping!$F15)</x:f>
        <x:v>55</x:v>
      </x:c>
      <x:c r="R15" s="20" t="n">
        <x:f>IF($C15="P&amp;L",('Raw TB'!N15-'Raw TB'!M15)*Mapping!$F15,'Raw TB'!N15*Mapping!$F15)</x:f>
        <x:v>60</x:v>
      </x:c>
    </x:row>
    <x:row r="16" ht="21" customHeight="1">
      <x:c r="A16" s="17" t="n">
        <x:f>Mapping!A16</x:f>
        <x:v>2200</x:v>
      </x:c>
      <x:c r="B16" s="16" t="str">
        <x:f>Mapping!B16</x:f>
        <x:v>Payroll Taxes Payable</x:v>
      </x:c>
      <x:c r="C16" s="16" t="str">
        <x:f>Mapping!C16</x:f>
        <x:v>BS</x:v>
      </x:c>
      <x:c r="D16" s="16" t="str">
        <x:f>Mapping!D16</x:f>
        <x:v>Liabilities</x:v>
      </x:c>
      <x:c r="E16" s="19"/>
      <x:c r="F16" s="19"/>
      <x:c r="G16" s="20" t="n">
        <x:f>IF($C16="P&amp;L",('Raw TB'!C16-0)*Mapping!$F16,'Raw TB'!C16*Mapping!$F16)</x:f>
        <x:v>145</x:v>
      </x:c>
      <x:c r="H16" s="20" t="n">
        <x:f>IF($C16="P&amp;L",('Raw TB'!D16-'Raw TB'!C16)*Mapping!$F16,'Raw TB'!D16*Mapping!$F16)</x:f>
        <x:v>150</x:v>
      </x:c>
      <x:c r="I16" s="20" t="n">
        <x:f>IF($C16="P&amp;L",('Raw TB'!E16-'Raw TB'!D16)*Mapping!$F16,'Raw TB'!E16*Mapping!$F16)</x:f>
        <x:v>155</x:v>
      </x:c>
      <x:c r="J16" s="20" t="n">
        <x:f>IF($C16="P&amp;L",('Raw TB'!F16-'Raw TB'!E16)*Mapping!$F16,'Raw TB'!F16*Mapping!$F16)</x:f>
        <x:v>160</x:v>
      </x:c>
      <x:c r="K16" s="20" t="n">
        <x:f>IF($C16="P&amp;L",('Raw TB'!G16-'Raw TB'!F16)*Mapping!$F16,'Raw TB'!G16*Mapping!$F16)</x:f>
        <x:v>165</x:v>
      </x:c>
      <x:c r="L16" s="20" t="n">
        <x:f>IF($C16="P&amp;L",('Raw TB'!H16-'Raw TB'!G16)*Mapping!$F16,'Raw TB'!H16*Mapping!$F16)</x:f>
        <x:v>170</x:v>
      </x:c>
      <x:c r="M16" s="20" t="n">
        <x:f>IF($C16="P&amp;L",('Raw TB'!I16-'Raw TB'!H16)*Mapping!$F16,'Raw TB'!I16*Mapping!$F16)</x:f>
        <x:v>168</x:v>
      </x:c>
      <x:c r="N16" s="20" t="n">
        <x:f>IF($C16="P&amp;L",('Raw TB'!J16-'Raw TB'!I16)*Mapping!$F16,'Raw TB'!J16*Mapping!$F16)</x:f>
        <x:v>166</x:v>
      </x:c>
      <x:c r="O16" s="20" t="n">
        <x:f>IF($C16="P&amp;L",('Raw TB'!K16-'Raw TB'!J16)*Mapping!$F16,'Raw TB'!K16*Mapping!$F16)</x:f>
        <x:v>164</x:v>
      </x:c>
      <x:c r="P16" s="20" t="n">
        <x:f>IF($C16="P&amp;L",('Raw TB'!L16-'Raw TB'!K16)*Mapping!$F16,'Raw TB'!L16*Mapping!$F16)</x:f>
        <x:v>166</x:v>
      </x:c>
      <x:c r="Q16" s="20" t="n">
        <x:f>IF($C16="P&amp;L",('Raw TB'!M16-'Raw TB'!L16)*Mapping!$F16,'Raw TB'!M16*Mapping!$F16)</x:f>
        <x:v>172</x:v>
      </x:c>
      <x:c r="R16" s="20" t="n">
        <x:f>IF($C16="P&amp;L",('Raw TB'!N16-'Raw TB'!M16)*Mapping!$F16,'Raw TB'!N16*Mapping!$F16)</x:f>
        <x:v>175</x:v>
      </x:c>
    </x:row>
    <x:row r="17" ht="21" customHeight="1">
      <x:c r="A17" s="17" t="n">
        <x:f>Mapping!A17</x:f>
        <x:v>2300</x:v>
      </x:c>
      <x:c r="B17" s="16" t="str">
        <x:f>Mapping!B17</x:f>
        <x:v>Deferred Revenue</x:v>
      </x:c>
      <x:c r="C17" s="16" t="str">
        <x:f>Mapping!C17</x:f>
        <x:v>BS</x:v>
      </x:c>
      <x:c r="D17" s="16" t="str">
        <x:f>Mapping!D17</x:f>
        <x:v>Liabilities</x:v>
      </x:c>
      <x:c r="E17" s="19"/>
      <x:c r="F17" s="19"/>
      <x:c r="G17" s="20" t="n">
        <x:f>IF($C17="P&amp;L",('Raw TB'!C17-0)*Mapping!$F17,'Raw TB'!C17*Mapping!$F17)</x:f>
        <x:v>80</x:v>
      </x:c>
      <x:c r="H17" s="20" t="n">
        <x:f>IF($C17="P&amp;L",('Raw TB'!D17-'Raw TB'!C17)*Mapping!$F17,'Raw TB'!D17*Mapping!$F17)</x:f>
        <x:v>82</x:v>
      </x:c>
      <x:c r="I17" s="20" t="n">
        <x:f>IF($C17="P&amp;L",('Raw TB'!E17-'Raw TB'!D17)*Mapping!$F17,'Raw TB'!E17*Mapping!$F17)</x:f>
        <x:v>85</x:v>
      </x:c>
      <x:c r="J17" s="20" t="n">
        <x:f>IF($C17="P&amp;L",('Raw TB'!F17-'Raw TB'!E17)*Mapping!$F17,'Raw TB'!F17*Mapping!$F17)</x:f>
        <x:v>90</x:v>
      </x:c>
      <x:c r="K17" s="20" t="n">
        <x:f>IF($C17="P&amp;L",('Raw TB'!G17-'Raw TB'!F17)*Mapping!$F17,'Raw TB'!G17*Mapping!$F17)</x:f>
        <x:v>95</x:v>
      </x:c>
      <x:c r="L17" s="20" t="n">
        <x:f>IF($C17="P&amp;L",('Raw TB'!H17-'Raw TB'!G17)*Mapping!$F17,'Raw TB'!H17*Mapping!$F17)</x:f>
        <x:v>100</x:v>
      </x:c>
      <x:c r="M17" s="20" t="n">
        <x:f>IF($C17="P&amp;L",('Raw TB'!I17-'Raw TB'!H17)*Mapping!$F17,'Raw TB'!I17*Mapping!$F17)</x:f>
        <x:v>98</x:v>
      </x:c>
      <x:c r="N17" s="20" t="n">
        <x:f>IF($C17="P&amp;L",('Raw TB'!J17-'Raw TB'!I17)*Mapping!$F17,'Raw TB'!J17*Mapping!$F17)</x:f>
        <x:v>96</x:v>
      </x:c>
      <x:c r="O17" s="20" t="n">
        <x:f>IF($C17="P&amp;L",('Raw TB'!K17-'Raw TB'!J17)*Mapping!$F17,'Raw TB'!K17*Mapping!$F17)</x:f>
        <x:v>94</x:v>
      </x:c>
      <x:c r="P17" s="20" t="n">
        <x:f>IF($C17="P&amp;L",('Raw TB'!L17-'Raw TB'!K17)*Mapping!$F17,'Raw TB'!L17*Mapping!$F17)</x:f>
        <x:v>96</x:v>
      </x:c>
      <x:c r="Q17" s="20" t="n">
        <x:f>IF($C17="P&amp;L",('Raw TB'!M17-'Raw TB'!L17)*Mapping!$F17,'Raw TB'!M17*Mapping!$F17)</x:f>
        <x:v>102</x:v>
      </x:c>
      <x:c r="R17" s="20" t="n">
        <x:f>IF($C17="P&amp;L",('Raw TB'!N17-'Raw TB'!M17)*Mapping!$F17,'Raw TB'!N17*Mapping!$F17)</x:f>
        <x:v>105</x:v>
      </x:c>
    </x:row>
    <x:row r="18" ht="21" customHeight="1">
      <x:c r="A18" s="17" t="n">
        <x:f>Mapping!A18</x:f>
        <x:v>2400</x:v>
      </x:c>
      <x:c r="B18" s="16" t="str">
        <x:f>Mapping!B18</x:f>
        <x:v>Other Accrued Liabilities</x:v>
      </x:c>
      <x:c r="C18" s="16" t="str">
        <x:f>Mapping!C18</x:f>
        <x:v>BS</x:v>
      </x:c>
      <x:c r="D18" s="16" t="str">
        <x:f>Mapping!D18</x:f>
        <x:v>Liabilities</x:v>
      </x:c>
      <x:c r="E18" s="19"/>
      <x:c r="F18" s="19"/>
      <x:c r="G18" s="20" t="n">
        <x:f>IF($C18="P&amp;L",('Raw TB'!C18-0)*Mapping!$F18,'Raw TB'!C18*Mapping!$F18)</x:f>
        <x:v>185</x:v>
      </x:c>
      <x:c r="H18" s="20" t="n">
        <x:f>IF($C18="P&amp;L",('Raw TB'!D18-'Raw TB'!C18)*Mapping!$F18,'Raw TB'!D18*Mapping!$F18)</x:f>
        <x:v>190</x:v>
      </x:c>
      <x:c r="I18" s="20" t="n">
        <x:f>IF($C18="P&amp;L",('Raw TB'!E18-'Raw TB'!D18)*Mapping!$F18,'Raw TB'!E18*Mapping!$F18)</x:f>
        <x:v>195</x:v>
      </x:c>
      <x:c r="J18" s="20" t="n">
        <x:f>IF($C18="P&amp;L",('Raw TB'!F18-'Raw TB'!E18)*Mapping!$F18,'Raw TB'!F18*Mapping!$F18)</x:f>
        <x:v>200</x:v>
      </x:c>
      <x:c r="K18" s="20" t="n">
        <x:f>IF($C18="P&amp;L",('Raw TB'!G18-'Raw TB'!F18)*Mapping!$F18,'Raw TB'!G18*Mapping!$F18)</x:f>
        <x:v>205</x:v>
      </x:c>
      <x:c r="L18" s="20" t="n">
        <x:f>IF($C18="P&amp;L",('Raw TB'!H18-'Raw TB'!G18)*Mapping!$F18,'Raw TB'!H18*Mapping!$F18)</x:f>
        <x:v>210</x:v>
      </x:c>
      <x:c r="M18" s="20" t="n">
        <x:f>IF($C18="P&amp;L",('Raw TB'!I18-'Raw TB'!H18)*Mapping!$F18,'Raw TB'!I18*Mapping!$F18)</x:f>
        <x:v>208</x:v>
      </x:c>
      <x:c r="N18" s="20" t="n">
        <x:f>IF($C18="P&amp;L",('Raw TB'!J18-'Raw TB'!I18)*Mapping!$F18,'Raw TB'!J18*Mapping!$F18)</x:f>
        <x:v>206</x:v>
      </x:c>
      <x:c r="O18" s="20" t="n">
        <x:f>IF($C18="P&amp;L",('Raw TB'!K18-'Raw TB'!J18)*Mapping!$F18,'Raw TB'!K18*Mapping!$F18)</x:f>
        <x:v>204</x:v>
      </x:c>
      <x:c r="P18" s="20" t="n">
        <x:f>IF($C18="P&amp;L",('Raw TB'!L18-'Raw TB'!K18)*Mapping!$F18,'Raw TB'!L18*Mapping!$F18)</x:f>
        <x:v>208</x:v>
      </x:c>
      <x:c r="Q18" s="20" t="n">
        <x:f>IF($C18="P&amp;L",('Raw TB'!M18-'Raw TB'!L18)*Mapping!$F18,'Raw TB'!M18*Mapping!$F18)</x:f>
        <x:v>214</x:v>
      </x:c>
      <x:c r="R18" s="20" t="n">
        <x:f>IF($C18="P&amp;L",('Raw TB'!N18-'Raw TB'!M18)*Mapping!$F18,'Raw TB'!N18*Mapping!$F18)</x:f>
        <x:v>220</x:v>
      </x:c>
    </x:row>
    <x:row r="19" ht="21" customHeight="1">
      <x:c r="A19" s="17" t="n">
        <x:f>Mapping!A19</x:f>
        <x:v>2500</x:v>
      </x:c>
      <x:c r="B19" s="16" t="str">
        <x:f>Mapping!B19</x:f>
        <x:v>Term Loan</x:v>
      </x:c>
      <x:c r="C19" s="16" t="str">
        <x:f>Mapping!C19</x:f>
        <x:v>BS</x:v>
      </x:c>
      <x:c r="D19" s="16" t="str">
        <x:f>Mapping!D19</x:f>
        <x:v>Liabilities</x:v>
      </x:c>
      <x:c r="E19" s="19"/>
      <x:c r="F19" s="19"/>
      <x:c r="G19" s="20" t="n">
        <x:f>IF($C19="P&amp;L",('Raw TB'!C19-0)*Mapping!$F19,'Raw TB'!C19*Mapping!$F19)</x:f>
        <x:v>1400</x:v>
      </x:c>
      <x:c r="H19" s="20" t="n">
        <x:f>IF($C19="P&amp;L",('Raw TB'!D19-'Raw TB'!C19)*Mapping!$F19,'Raw TB'!D19*Mapping!$F19)</x:f>
        <x:v>1363.636</x:v>
      </x:c>
      <x:c r="I19" s="20" t="n">
        <x:f>IF($C19="P&amp;L",('Raw TB'!E19-'Raw TB'!D19)*Mapping!$F19,'Raw TB'!E19*Mapping!$F19)</x:f>
        <x:v>1327.273</x:v>
      </x:c>
      <x:c r="J19" s="20" t="n">
        <x:f>IF($C19="P&amp;L",('Raw TB'!F19-'Raw TB'!E19)*Mapping!$F19,'Raw TB'!F19*Mapping!$F19)</x:f>
        <x:v>1290.909</x:v>
      </x:c>
      <x:c r="K19" s="20" t="n">
        <x:f>IF($C19="P&amp;L",('Raw TB'!G19-'Raw TB'!F19)*Mapping!$F19,'Raw TB'!G19*Mapping!$F19)</x:f>
        <x:v>1254.545</x:v>
      </x:c>
      <x:c r="L19" s="20" t="n">
        <x:f>IF($C19="P&amp;L",('Raw TB'!H19-'Raw TB'!G19)*Mapping!$F19,'Raw TB'!H19*Mapping!$F19)</x:f>
        <x:v>1218.182</x:v>
      </x:c>
      <x:c r="M19" s="20" t="n">
        <x:f>IF($C19="P&amp;L",('Raw TB'!I19-'Raw TB'!H19)*Mapping!$F19,'Raw TB'!I19*Mapping!$F19)</x:f>
        <x:v>1181.818</x:v>
      </x:c>
      <x:c r="N19" s="20" t="n">
        <x:f>IF($C19="P&amp;L",('Raw TB'!J19-'Raw TB'!I19)*Mapping!$F19,'Raw TB'!J19*Mapping!$F19)</x:f>
        <x:v>1145.455</x:v>
      </x:c>
      <x:c r="O19" s="20" t="n">
        <x:f>IF($C19="P&amp;L",('Raw TB'!K19-'Raw TB'!J19)*Mapping!$F19,'Raw TB'!K19*Mapping!$F19)</x:f>
        <x:v>1109.091</x:v>
      </x:c>
      <x:c r="P19" s="20" t="n">
        <x:f>IF($C19="P&amp;L",('Raw TB'!L19-'Raw TB'!K19)*Mapping!$F19,'Raw TB'!L19*Mapping!$F19)</x:f>
        <x:v>1072.727</x:v>
      </x:c>
      <x:c r="Q19" s="20" t="n">
        <x:f>IF($C19="P&amp;L",('Raw TB'!M19-'Raw TB'!L19)*Mapping!$F19,'Raw TB'!M19*Mapping!$F19)</x:f>
        <x:v>1036.364</x:v>
      </x:c>
      <x:c r="R19" s="20" t="n">
        <x:f>IF($C19="P&amp;L",('Raw TB'!N19-'Raw TB'!M19)*Mapping!$F19,'Raw TB'!N19*Mapping!$F19)</x:f>
        <x:v>1000</x:v>
      </x:c>
    </x:row>
    <x:row r="20" ht="21" customHeight="1">
      <x:c r="A20" s="17" t="n">
        <x:f>Mapping!A20</x:f>
        <x:v>3000</x:v>
      </x:c>
      <x:c r="B20" s="16" t="str">
        <x:f>Mapping!B20</x:f>
        <x:v>Member's Capital</x:v>
      </x:c>
      <x:c r="C20" s="16" t="str">
        <x:f>Mapping!C20</x:f>
        <x:v>BS</x:v>
      </x:c>
      <x:c r="D20" s="16" t="str">
        <x:f>Mapping!D20</x:f>
        <x:v>Equity</x:v>
      </x:c>
      <x:c r="E20" s="19"/>
      <x:c r="F20" s="19"/>
      <x:c r="G20" s="20" t="n">
        <x:f>IF($C20="P&amp;L",('Raw TB'!C20-0)*Mapping!$F20,'Raw TB'!C20*Mapping!$F20)</x:f>
        <x:v>500</x:v>
      </x:c>
      <x:c r="H20" s="20" t="n">
        <x:f>IF($C20="P&amp;L",('Raw TB'!D20-'Raw TB'!C20)*Mapping!$F20,'Raw TB'!D20*Mapping!$F20)</x:f>
        <x:v>500</x:v>
      </x:c>
      <x:c r="I20" s="20" t="n">
        <x:f>IF($C20="P&amp;L",('Raw TB'!E20-'Raw TB'!D20)*Mapping!$F20,'Raw TB'!E20*Mapping!$F20)</x:f>
        <x:v>500</x:v>
      </x:c>
      <x:c r="J20" s="20" t="n">
        <x:f>IF($C20="P&amp;L",('Raw TB'!F20-'Raw TB'!E20)*Mapping!$F20,'Raw TB'!F20*Mapping!$F20)</x:f>
        <x:v>500</x:v>
      </x:c>
      <x:c r="K20" s="20" t="n">
        <x:f>IF($C20="P&amp;L",('Raw TB'!G20-'Raw TB'!F20)*Mapping!$F20,'Raw TB'!G20*Mapping!$F20)</x:f>
        <x:v>500</x:v>
      </x:c>
      <x:c r="L20" s="20" t="n">
        <x:f>IF($C20="P&amp;L",('Raw TB'!H20-'Raw TB'!G20)*Mapping!$F20,'Raw TB'!H20*Mapping!$F20)</x:f>
        <x:v>500</x:v>
      </x:c>
      <x:c r="M20" s="20" t="n">
        <x:f>IF($C20="P&amp;L",('Raw TB'!I20-'Raw TB'!H20)*Mapping!$F20,'Raw TB'!I20*Mapping!$F20)</x:f>
        <x:v>500</x:v>
      </x:c>
      <x:c r="N20" s="20" t="n">
        <x:f>IF($C20="P&amp;L",('Raw TB'!J20-'Raw TB'!I20)*Mapping!$F20,'Raw TB'!J20*Mapping!$F20)</x:f>
        <x:v>500</x:v>
      </x:c>
      <x:c r="O20" s="20" t="n">
        <x:f>IF($C20="P&amp;L",('Raw TB'!K20-'Raw TB'!J20)*Mapping!$F20,'Raw TB'!K20*Mapping!$F20)</x:f>
        <x:v>500</x:v>
      </x:c>
      <x:c r="P20" s="20" t="n">
        <x:f>IF($C20="P&amp;L",('Raw TB'!L20-'Raw TB'!K20)*Mapping!$F20,'Raw TB'!L20*Mapping!$F20)</x:f>
        <x:v>500</x:v>
      </x:c>
      <x:c r="Q20" s="20" t="n">
        <x:f>IF($C20="P&amp;L",('Raw TB'!M20-'Raw TB'!L20)*Mapping!$F20,'Raw TB'!M20*Mapping!$F20)</x:f>
        <x:v>500</x:v>
      </x:c>
      <x:c r="R20" s="20" t="n">
        <x:f>IF($C20="P&amp;L",('Raw TB'!N20-'Raw TB'!M20)*Mapping!$F20,'Raw TB'!N20*Mapping!$F20)</x:f>
        <x:v>500</x:v>
      </x:c>
    </x:row>
    <x:row r="21" ht="21" customHeight="1">
      <x:c r="A21" s="17" t="n">
        <x:f>Mapping!A21</x:f>
        <x:v>3100</x:v>
      </x:c>
      <x:c r="B21" s="16" t="str">
        <x:f>Mapping!B21</x:f>
        <x:v>Retained Earnings</x:v>
      </x:c>
      <x:c r="C21" s="16" t="str">
        <x:f>Mapping!C21</x:f>
        <x:v>BS</x:v>
      </x:c>
      <x:c r="D21" s="16" t="str">
        <x:f>Mapping!D21</x:f>
        <x:v>Equity</x:v>
      </x:c>
      <x:c r="E21" s="19"/>
      <x:c r="F21" s="19"/>
      <x:c r="G21" s="20" t="n">
        <x:f>IF($C21="P&amp;L",('Raw TB'!C21-0)*Mapping!$F21,'Raw TB'!C21*Mapping!$F21)</x:f>
        <x:v>2400</x:v>
      </x:c>
      <x:c r="H21" s="20" t="n">
        <x:f>IF($C21="P&amp;L",('Raw TB'!D21-'Raw TB'!C21)*Mapping!$F21,'Raw TB'!D21*Mapping!$F21)</x:f>
        <x:v>2400</x:v>
      </x:c>
      <x:c r="I21" s="20" t="n">
        <x:f>IF($C21="P&amp;L",('Raw TB'!E21-'Raw TB'!D21)*Mapping!$F21,'Raw TB'!E21*Mapping!$F21)</x:f>
        <x:v>2400</x:v>
      </x:c>
      <x:c r="J21" s="20" t="n">
        <x:f>IF($C21="P&amp;L",('Raw TB'!F21-'Raw TB'!E21)*Mapping!$F21,'Raw TB'!F21*Mapping!$F21)</x:f>
        <x:v>2400</x:v>
      </x:c>
      <x:c r="K21" s="20" t="n">
        <x:f>IF($C21="P&amp;L",('Raw TB'!G21-'Raw TB'!F21)*Mapping!$F21,'Raw TB'!G21*Mapping!$F21)</x:f>
        <x:v>2400</x:v>
      </x:c>
      <x:c r="L21" s="20" t="n">
        <x:f>IF($C21="P&amp;L",('Raw TB'!H21-'Raw TB'!G21)*Mapping!$F21,'Raw TB'!H21*Mapping!$F21)</x:f>
        <x:v>2400</x:v>
      </x:c>
      <x:c r="M21" s="20" t="n">
        <x:f>IF($C21="P&amp;L",('Raw TB'!I21-'Raw TB'!H21)*Mapping!$F21,'Raw TB'!I21*Mapping!$F21)</x:f>
        <x:v>2400</x:v>
      </x:c>
      <x:c r="N21" s="20" t="n">
        <x:f>IF($C21="P&amp;L",('Raw TB'!J21-'Raw TB'!I21)*Mapping!$F21,'Raw TB'!J21*Mapping!$F21)</x:f>
        <x:v>2400</x:v>
      </x:c>
      <x:c r="O21" s="20" t="n">
        <x:f>IF($C21="P&amp;L",('Raw TB'!K21-'Raw TB'!J21)*Mapping!$F21,'Raw TB'!K21*Mapping!$F21)</x:f>
        <x:v>2400</x:v>
      </x:c>
      <x:c r="P21" s="20" t="n">
        <x:f>IF($C21="P&amp;L",('Raw TB'!L21-'Raw TB'!K21)*Mapping!$F21,'Raw TB'!L21*Mapping!$F21)</x:f>
        <x:v>2400</x:v>
      </x:c>
      <x:c r="Q21" s="20" t="n">
        <x:f>IF($C21="P&amp;L",('Raw TB'!M21-'Raw TB'!L21)*Mapping!$F21,'Raw TB'!M21*Mapping!$F21)</x:f>
        <x:v>2400</x:v>
      </x:c>
      <x:c r="R21" s="20" t="n">
        <x:f>IF($C21="P&amp;L",('Raw TB'!N21-'Raw TB'!M21)*Mapping!$F21,'Raw TB'!N21*Mapping!$F21)</x:f>
        <x:v>2400</x:v>
      </x:c>
    </x:row>
    <x:row r="22" ht="21" customHeight="1">
      <x:c r="A22" s="17" t="n">
        <x:f>Mapping!A22</x:f>
        <x:v>4000</x:v>
      </x:c>
      <x:c r="B22" s="16" t="str">
        <x:f>Mapping!B22</x:f>
        <x:v>Recurring Janitorial Revenue</x:v>
      </x:c>
      <x:c r="C22" s="16" t="str">
        <x:f>Mapping!C22</x:f>
        <x:v>P&amp;L</x:v>
      </x:c>
      <x:c r="D22" s="16" t="str">
        <x:f>Mapping!D22</x:f>
        <x:v>Revenue</x:v>
      </x:c>
      <x:c r="E22" s="19"/>
      <x:c r="F22" s="19"/>
      <x:c r="G22" s="20" t="n">
        <x:f>IF($C22="P&amp;L",('Raw TB'!C22-0)*Mapping!$F22,'Raw TB'!C22*Mapping!$F22)</x:f>
        <x:v>1120</x:v>
      </x:c>
      <x:c r="H22" s="20" t="n">
        <x:f>IF($C22="P&amp;L",('Raw TB'!D22-'Raw TB'!C22)*Mapping!$F22,'Raw TB'!D22*Mapping!$F22)</x:f>
        <x:v>1160</x:v>
      </x:c>
      <x:c r="I22" s="20" t="n">
        <x:f>IF($C22="P&amp;L",('Raw TB'!E22-'Raw TB'!D22)*Mapping!$F22,'Raw TB'!E22*Mapping!$F22)</x:f>
        <x:v>1230</x:v>
      </x:c>
      <x:c r="J22" s="20" t="n">
        <x:f>IF($C22="P&amp;L",('Raw TB'!F22-'Raw TB'!E22)*Mapping!$F22,'Raw TB'!F22*Mapping!$F22)</x:f>
        <x:v>1320</x:v>
      </x:c>
      <x:c r="K22" s="20" t="n">
        <x:f>IF($C22="P&amp;L",('Raw TB'!G22-'Raw TB'!F22)*Mapping!$F22,'Raw TB'!G22*Mapping!$F22)</x:f>
        <x:v>1410</x:v>
      </x:c>
      <x:c r="L22" s="20" t="n">
        <x:f>IF($C22="P&amp;L",('Raw TB'!H22-'Raw TB'!G22)*Mapping!$F22,'Raw TB'!H22*Mapping!$F22)</x:f>
        <x:v>1490</x:v>
      </x:c>
      <x:c r="M22" s="20" t="n">
        <x:f>IF($C22="P&amp;L",('Raw TB'!I22-'Raw TB'!H22)*Mapping!$F22,'Raw TB'!I22*Mapping!$F22)</x:f>
        <x:v>1430</x:v>
      </x:c>
      <x:c r="N22" s="20" t="n">
        <x:f>IF($C22="P&amp;L",('Raw TB'!J22-'Raw TB'!I22)*Mapping!$F22,'Raw TB'!J22*Mapping!$F22)</x:f>
        <x:v>1370</x:v>
      </x:c>
      <x:c r="O22" s="20" t="n">
        <x:f>IF($C22="P&amp;L",('Raw TB'!K22-'Raw TB'!J22)*Mapping!$F22,'Raw TB'!K22*Mapping!$F22)</x:f>
        <x:v>1340</x:v>
      </x:c>
      <x:c r="P22" s="20" t="n">
        <x:f>IF($C22="P&amp;L",('Raw TB'!L22-'Raw TB'!K22)*Mapping!$F22,'Raw TB'!L22*Mapping!$F22)</x:f>
        <x:v>1400</x:v>
      </x:c>
      <x:c r="Q22" s="20" t="n">
        <x:f>IF($C22="P&amp;L",('Raw TB'!M22-'Raw TB'!L22)*Mapping!$F22,'Raw TB'!M22*Mapping!$F22)</x:f>
        <x:v>1490</x:v>
      </x:c>
      <x:c r="R22" s="20" t="n">
        <x:f>IF($C22="P&amp;L",('Raw TB'!N22-'Raw TB'!M22)*Mapping!$F22,'Raw TB'!N22*Mapping!$F22)</x:f>
        <x:v>1440</x:v>
      </x:c>
    </x:row>
    <x:row r="23" ht="21" customHeight="1">
      <x:c r="A23" s="17" t="n">
        <x:f>Mapping!A23</x:f>
        <x:v>4010</x:v>
      </x:c>
      <x:c r="B23" s="16" t="str">
        <x:f>Mapping!B23</x:f>
        <x:v>Deep Cleaning / Project Revenue</x:v>
      </x:c>
      <x:c r="C23" s="16" t="str">
        <x:f>Mapping!C23</x:f>
        <x:v>P&amp;L</x:v>
      </x:c>
      <x:c r="D23" s="16" t="str">
        <x:f>Mapping!D23</x:f>
        <x:v>Revenue</x:v>
      </x:c>
      <x:c r="E23" s="19"/>
      <x:c r="F23" s="19"/>
      <x:c r="G23" s="20" t="n">
        <x:f>IF($C23="P&amp;L",('Raw TB'!C23-0)*Mapping!$F23,'Raw TB'!C23*Mapping!$F23)</x:f>
        <x:v>80</x:v>
      </x:c>
      <x:c r="H23" s="20" t="n">
        <x:f>IF($C23="P&amp;L",('Raw TB'!D23-'Raw TB'!C23)*Mapping!$F23,'Raw TB'!D23*Mapping!$F23)</x:f>
        <x:v>90</x:v>
      </x:c>
      <x:c r="I23" s="20" t="n">
        <x:f>IF($C23="P&amp;L",('Raw TB'!E23-'Raw TB'!D23)*Mapping!$F23,'Raw TB'!E23*Mapping!$F23)</x:f>
        <x:v>120</x:v>
      </x:c>
      <x:c r="J23" s="20" t="n">
        <x:f>IF($C23="P&amp;L",('Raw TB'!F23-'Raw TB'!E23)*Mapping!$F23,'Raw TB'!F23*Mapping!$F23)</x:f>
        <x:v>130</x:v>
      </x:c>
      <x:c r="K23" s="20" t="n">
        <x:f>IF($C23="P&amp;L",('Raw TB'!G23-'Raw TB'!F23)*Mapping!$F23,'Raw TB'!G23*Mapping!$F23)</x:f>
        <x:v>140</x:v>
      </x:c>
      <x:c r="L23" s="20" t="n">
        <x:f>IF($C23="P&amp;L",('Raw TB'!H23-'Raw TB'!G23)*Mapping!$F23,'Raw TB'!H23*Mapping!$F23)</x:f>
        <x:v>160</x:v>
      </x:c>
      <x:c r="M23" s="20" t="n">
        <x:f>IF($C23="P&amp;L",('Raw TB'!I23-'Raw TB'!H23)*Mapping!$F23,'Raw TB'!I23*Mapping!$F23)</x:f>
        <x:v>170</x:v>
      </x:c>
      <x:c r="N23" s="20" t="n">
        <x:f>IF($C23="P&amp;L",('Raw TB'!J23-'Raw TB'!I23)*Mapping!$F23,'Raw TB'!J23*Mapping!$F23)</x:f>
        <x:v>180</x:v>
      </x:c>
      <x:c r="O23" s="20" t="n">
        <x:f>IF($C23="P&amp;L",('Raw TB'!K23-'Raw TB'!J23)*Mapping!$F23,'Raw TB'!K23*Mapping!$F23)</x:f>
        <x:v>160</x:v>
      </x:c>
      <x:c r="P23" s="20" t="n">
        <x:f>IF($C23="P&amp;L",('Raw TB'!L23-'Raw TB'!K23)*Mapping!$F23,'Raw TB'!L23*Mapping!$F23)</x:f>
        <x:v>150</x:v>
      </x:c>
      <x:c r="Q23" s="20" t="n">
        <x:f>IF($C23="P&amp;L",('Raw TB'!M23-'Raw TB'!L23)*Mapping!$F23,'Raw TB'!M23*Mapping!$F23)</x:f>
        <x:v>210</x:v>
      </x:c>
      <x:c r="R23" s="20" t="n">
        <x:f>IF($C23="P&amp;L",('Raw TB'!N23-'Raw TB'!M23)*Mapping!$F23,'Raw TB'!N23*Mapping!$F23)</x:f>
        <x:v>210</x:v>
      </x:c>
    </x:row>
    <x:row r="24" ht="21" customHeight="1">
      <x:c r="A24" s="17" t="n">
        <x:f>Mapping!A24</x:f>
        <x:v>5000</x:v>
      </x:c>
      <x:c r="B24" s="16" t="str">
        <x:f>Mapping!B24</x:f>
        <x:v>Field Labor</x:v>
      </x:c>
      <x:c r="C24" s="16" t="str">
        <x:f>Mapping!C24</x:f>
        <x:v>P&amp;L</x:v>
      </x:c>
      <x:c r="D24" s="16" t="str">
        <x:f>Mapping!D24</x:f>
        <x:v>Cost of Services</x:v>
      </x:c>
      <x:c r="E24" s="19"/>
      <x:c r="F24" s="19"/>
      <x:c r="G24" s="20" t="n">
        <x:f>IF($C24="P&amp;L",('Raw TB'!C24-0)*Mapping!$F24,'Raw TB'!C24*Mapping!$F24)</x:f>
        <x:v>516</x:v>
      </x:c>
      <x:c r="H24" s="20" t="n">
        <x:f>IF($C24="P&amp;L",('Raw TB'!D24-'Raw TB'!C24)*Mapping!$F24,'Raw TB'!D24*Mapping!$F24)</x:f>
        <x:v>537.5</x:v>
      </x:c>
      <x:c r="I24" s="20" t="n">
        <x:f>IF($C24="P&amp;L",('Raw TB'!E24-'Raw TB'!D24)*Mapping!$F24,'Raw TB'!E24*Mapping!$F24)</x:f>
        <x:v>580.5</x:v>
      </x:c>
      <x:c r="J24" s="20" t="n">
        <x:f>IF($C24="P&amp;L",('Raw TB'!F24-'Raw TB'!E24)*Mapping!$F24,'Raw TB'!F24*Mapping!$F24)</x:f>
        <x:v>623.5</x:v>
      </x:c>
      <x:c r="K24" s="20" t="n">
        <x:f>IF($C24="P&amp;L",('Raw TB'!G24-'Raw TB'!F24)*Mapping!$F24,'Raw TB'!G24*Mapping!$F24)</x:f>
        <x:v>666.5</x:v>
      </x:c>
      <x:c r="L24" s="20" t="n">
        <x:f>IF($C24="P&amp;L",('Raw TB'!H24-'Raw TB'!G24)*Mapping!$F24,'Raw TB'!H24*Mapping!$F24)</x:f>
        <x:v>709.5</x:v>
      </x:c>
      <x:c r="M24" s="20" t="n">
        <x:f>IF($C24="P&amp;L",('Raw TB'!I24-'Raw TB'!H24)*Mapping!$F24,'Raw TB'!I24*Mapping!$F24)</x:f>
        <x:v>688</x:v>
      </x:c>
      <x:c r="N24" s="20" t="n">
        <x:f>IF($C24="P&amp;L",('Raw TB'!J24-'Raw TB'!I24)*Mapping!$F24,'Raw TB'!J24*Mapping!$F24)</x:f>
        <x:v>666.5</x:v>
      </x:c>
      <x:c r="O24" s="20" t="n">
        <x:f>IF($C24="P&amp;L",('Raw TB'!K24-'Raw TB'!J24)*Mapping!$F24,'Raw TB'!K24*Mapping!$F24)</x:f>
        <x:v>645</x:v>
      </x:c>
      <x:c r="P24" s="20" t="n">
        <x:f>IF($C24="P&amp;L",('Raw TB'!L24-'Raw TB'!K24)*Mapping!$F24,'Raw TB'!L24*Mapping!$F24)</x:f>
        <x:v>666.5</x:v>
      </x:c>
      <x:c r="Q24" s="20" t="n">
        <x:f>IF($C24="P&amp;L",('Raw TB'!M24-'Raw TB'!L24)*Mapping!$F24,'Raw TB'!M24*Mapping!$F24)</x:f>
        <x:v>731</x:v>
      </x:c>
      <x:c r="R24" s="20" t="n">
        <x:f>IF($C24="P&amp;L",('Raw TB'!N24-'Raw TB'!M24)*Mapping!$F24,'Raw TB'!N24*Mapping!$F24)</x:f>
        <x:v>709.5</x:v>
      </x:c>
    </x:row>
    <x:row r="25" ht="21" customHeight="1">
      <x:c r="A25" s="17" t="n">
        <x:f>Mapping!A25</x:f>
        <x:v>5010</x:v>
      </x:c>
      <x:c r="B25" s="16" t="str">
        <x:f>Mapping!B25</x:f>
        <x:v>Payroll Taxes &amp; Benefits</x:v>
      </x:c>
      <x:c r="C25" s="16" t="str">
        <x:f>Mapping!C25</x:f>
        <x:v>P&amp;L</x:v>
      </x:c>
      <x:c r="D25" s="16" t="str">
        <x:f>Mapping!D25</x:f>
        <x:v>Cost of Services</x:v>
      </x:c>
      <x:c r="E25" s="19"/>
      <x:c r="F25" s="19"/>
      <x:c r="G25" s="20" t="n">
        <x:f>IF($C25="P&amp;L",('Raw TB'!C25-0)*Mapping!$F25,'Raw TB'!C25*Mapping!$F25)</x:f>
        <x:v>108</x:v>
      </x:c>
      <x:c r="H25" s="20" t="n">
        <x:f>IF($C25="P&amp;L",('Raw TB'!D25-'Raw TB'!C25)*Mapping!$F25,'Raw TB'!D25*Mapping!$F25)</x:f>
        <x:v>112.5</x:v>
      </x:c>
      <x:c r="I25" s="20" t="n">
        <x:f>IF($C25="P&amp;L",('Raw TB'!E25-'Raw TB'!D25)*Mapping!$F25,'Raw TB'!E25*Mapping!$F25)</x:f>
        <x:v>121.5</x:v>
      </x:c>
      <x:c r="J25" s="20" t="n">
        <x:f>IF($C25="P&amp;L",('Raw TB'!F25-'Raw TB'!E25)*Mapping!$F25,'Raw TB'!F25*Mapping!$F25)</x:f>
        <x:v>130.5</x:v>
      </x:c>
      <x:c r="K25" s="20" t="n">
        <x:f>IF($C25="P&amp;L",('Raw TB'!G25-'Raw TB'!F25)*Mapping!$F25,'Raw TB'!G25*Mapping!$F25)</x:f>
        <x:v>139.5</x:v>
      </x:c>
      <x:c r="L25" s="20" t="n">
        <x:f>IF($C25="P&amp;L",('Raw TB'!H25-'Raw TB'!G25)*Mapping!$F25,'Raw TB'!H25*Mapping!$F25)</x:f>
        <x:v>148.5</x:v>
      </x:c>
      <x:c r="M25" s="20" t="n">
        <x:f>IF($C25="P&amp;L",('Raw TB'!I25-'Raw TB'!H25)*Mapping!$F25,'Raw TB'!I25*Mapping!$F25)</x:f>
        <x:v>144</x:v>
      </x:c>
      <x:c r="N25" s="20" t="n">
        <x:f>IF($C25="P&amp;L",('Raw TB'!J25-'Raw TB'!I25)*Mapping!$F25,'Raw TB'!J25*Mapping!$F25)</x:f>
        <x:v>139.5</x:v>
      </x:c>
      <x:c r="O25" s="20" t="n">
        <x:f>IF($C25="P&amp;L",('Raw TB'!K25-'Raw TB'!J25)*Mapping!$F25,'Raw TB'!K25*Mapping!$F25)</x:f>
        <x:v>135</x:v>
      </x:c>
      <x:c r="P25" s="20" t="n">
        <x:f>IF($C25="P&amp;L",('Raw TB'!L25-'Raw TB'!K25)*Mapping!$F25,'Raw TB'!L25*Mapping!$F25)</x:f>
        <x:v>139.5</x:v>
      </x:c>
      <x:c r="Q25" s="20" t="n">
        <x:f>IF($C25="P&amp;L",('Raw TB'!M25-'Raw TB'!L25)*Mapping!$F25,'Raw TB'!M25*Mapping!$F25)</x:f>
        <x:v>153</x:v>
      </x:c>
      <x:c r="R25" s="20" t="n">
        <x:f>IF($C25="P&amp;L",('Raw TB'!N25-'Raw TB'!M25)*Mapping!$F25,'Raw TB'!N25*Mapping!$F25)</x:f>
        <x:v>148.5</x:v>
      </x:c>
    </x:row>
    <x:row r="26" ht="21" customHeight="1">
      <x:c r="A26" s="17" t="n">
        <x:f>Mapping!A26</x:f>
        <x:v>5020</x:v>
      </x:c>
      <x:c r="B26" s="16" t="str">
        <x:f>Mapping!B26</x:f>
        <x:v>Cleaning Supplies</x:v>
      </x:c>
      <x:c r="C26" s="16" t="str">
        <x:f>Mapping!C26</x:f>
        <x:v>P&amp;L</x:v>
      </x:c>
      <x:c r="D26" s="16" t="str">
        <x:f>Mapping!D26</x:f>
        <x:v>Cost of Services</x:v>
      </x:c>
      <x:c r="E26" s="19"/>
      <x:c r="F26" s="19"/>
      <x:c r="G26" s="20" t="n">
        <x:f>IF($C26="P&amp;L",('Raw TB'!C26-0)*Mapping!$F26,'Raw TB'!C26*Mapping!$F26)</x:f>
        <x:v>60</x:v>
      </x:c>
      <x:c r="H26" s="20" t="n">
        <x:f>IF($C26="P&amp;L",('Raw TB'!D26-'Raw TB'!C26)*Mapping!$F26,'Raw TB'!D26*Mapping!$F26)</x:f>
        <x:v>62.5</x:v>
      </x:c>
      <x:c r="I26" s="20" t="n">
        <x:f>IF($C26="P&amp;L",('Raw TB'!E26-'Raw TB'!D26)*Mapping!$F26,'Raw TB'!E26*Mapping!$F26)</x:f>
        <x:v>67.5</x:v>
      </x:c>
      <x:c r="J26" s="20" t="n">
        <x:f>IF($C26="P&amp;L",('Raw TB'!F26-'Raw TB'!E26)*Mapping!$F26,'Raw TB'!F26*Mapping!$F26)</x:f>
        <x:v>72.5</x:v>
      </x:c>
      <x:c r="K26" s="20" t="n">
        <x:f>IF($C26="P&amp;L",('Raw TB'!G26-'Raw TB'!F26)*Mapping!$F26,'Raw TB'!G26*Mapping!$F26)</x:f>
        <x:v>77.5</x:v>
      </x:c>
      <x:c r="L26" s="20" t="n">
        <x:f>IF($C26="P&amp;L",('Raw TB'!H26-'Raw TB'!G26)*Mapping!$F26,'Raw TB'!H26*Mapping!$F26)</x:f>
        <x:v>82.5</x:v>
      </x:c>
      <x:c r="M26" s="20" t="n">
        <x:f>IF($C26="P&amp;L",('Raw TB'!I26-'Raw TB'!H26)*Mapping!$F26,'Raw TB'!I26*Mapping!$F26)</x:f>
        <x:v>80</x:v>
      </x:c>
      <x:c r="N26" s="20" t="n">
        <x:f>IF($C26="P&amp;L",('Raw TB'!J26-'Raw TB'!I26)*Mapping!$F26,'Raw TB'!J26*Mapping!$F26)</x:f>
        <x:v>77.5</x:v>
      </x:c>
      <x:c r="O26" s="20" t="n">
        <x:f>IF($C26="P&amp;L",('Raw TB'!K26-'Raw TB'!J26)*Mapping!$F26,'Raw TB'!K26*Mapping!$F26)</x:f>
        <x:v>75</x:v>
      </x:c>
      <x:c r="P26" s="20" t="n">
        <x:f>IF($C26="P&amp;L",('Raw TB'!L26-'Raw TB'!K26)*Mapping!$F26,'Raw TB'!L26*Mapping!$F26)</x:f>
        <x:v>77.5</x:v>
      </x:c>
      <x:c r="Q26" s="20" t="n">
        <x:f>IF($C26="P&amp;L",('Raw TB'!M26-'Raw TB'!L26)*Mapping!$F26,'Raw TB'!M26*Mapping!$F26)</x:f>
        <x:v>85</x:v>
      </x:c>
      <x:c r="R26" s="20" t="n">
        <x:f>IF($C26="P&amp;L",('Raw TB'!N26-'Raw TB'!M26)*Mapping!$F26,'Raw TB'!N26*Mapping!$F26)</x:f>
        <x:v>82.5</x:v>
      </x:c>
    </x:row>
    <x:row r="27" ht="21" customHeight="1">
      <x:c r="A27" s="17" t="n">
        <x:f>Mapping!A27</x:f>
        <x:v>5030</x:v>
      </x:c>
      <x:c r="B27" s="16" t="str">
        <x:f>Mapping!B27</x:f>
        <x:v>Subcontractor Costs</x:v>
      </x:c>
      <x:c r="C27" s="16" t="str">
        <x:f>Mapping!C27</x:f>
        <x:v>P&amp;L</x:v>
      </x:c>
      <x:c r="D27" s="16" t="str">
        <x:f>Mapping!D27</x:f>
        <x:v>Cost of Services</x:v>
      </x:c>
      <x:c r="E27" s="19"/>
      <x:c r="F27" s="19"/>
      <x:c r="G27" s="20" t="n">
        <x:f>IF($C27="P&amp;L",('Raw TB'!C27-0)*Mapping!$F27,'Raw TB'!C27*Mapping!$F27)</x:f>
        <x:v>36</x:v>
      </x:c>
      <x:c r="H27" s="20" t="n">
        <x:f>IF($C27="P&amp;L",('Raw TB'!D27-'Raw TB'!C27)*Mapping!$F27,'Raw TB'!D27*Mapping!$F27)</x:f>
        <x:v>37.5</x:v>
      </x:c>
      <x:c r="I27" s="20" t="n">
        <x:f>IF($C27="P&amp;L",('Raw TB'!E27-'Raw TB'!D27)*Mapping!$F27,'Raw TB'!E27*Mapping!$F27)</x:f>
        <x:v>40.5</x:v>
      </x:c>
      <x:c r="J27" s="20" t="n">
        <x:f>IF($C27="P&amp;L",('Raw TB'!F27-'Raw TB'!E27)*Mapping!$F27,'Raw TB'!F27*Mapping!$F27)</x:f>
        <x:v>43.5</x:v>
      </x:c>
      <x:c r="K27" s="20" t="n">
        <x:f>IF($C27="P&amp;L",('Raw TB'!G27-'Raw TB'!F27)*Mapping!$F27,'Raw TB'!G27*Mapping!$F27)</x:f>
        <x:v>46.5</x:v>
      </x:c>
      <x:c r="L27" s="20" t="n">
        <x:f>IF($C27="P&amp;L",('Raw TB'!H27-'Raw TB'!G27)*Mapping!$F27,'Raw TB'!H27*Mapping!$F27)</x:f>
        <x:v>49.5</x:v>
      </x:c>
      <x:c r="M27" s="20" t="n">
        <x:f>IF($C27="P&amp;L",('Raw TB'!I27-'Raw TB'!H27)*Mapping!$F27,'Raw TB'!I27*Mapping!$F27)</x:f>
        <x:v>48</x:v>
      </x:c>
      <x:c r="N27" s="20" t="n">
        <x:f>IF($C27="P&amp;L",('Raw TB'!J27-'Raw TB'!I27)*Mapping!$F27,'Raw TB'!J27*Mapping!$F27)</x:f>
        <x:v>46.5</x:v>
      </x:c>
      <x:c r="O27" s="20" t="n">
        <x:f>IF($C27="P&amp;L",('Raw TB'!K27-'Raw TB'!J27)*Mapping!$F27,'Raw TB'!K27*Mapping!$F27)</x:f>
        <x:v>45</x:v>
      </x:c>
      <x:c r="P27" s="20" t="n">
        <x:f>IF($C27="P&amp;L",('Raw TB'!L27-'Raw TB'!K27)*Mapping!$F27,'Raw TB'!L27*Mapping!$F27)</x:f>
        <x:v>46.5</x:v>
      </x:c>
      <x:c r="Q27" s="20" t="n">
        <x:f>IF($C27="P&amp;L",('Raw TB'!M27-'Raw TB'!L27)*Mapping!$F27,'Raw TB'!M27*Mapping!$F27)</x:f>
        <x:v>51</x:v>
      </x:c>
      <x:c r="R27" s="20" t="n">
        <x:f>IF($C27="P&amp;L",('Raw TB'!N27-'Raw TB'!M27)*Mapping!$F27,'Raw TB'!N27*Mapping!$F27)</x:f>
        <x:v>49.5</x:v>
      </x:c>
    </x:row>
    <x:row r="28" ht="21" customHeight="1">
      <x:c r="A28" s="17" t="n">
        <x:f>Mapping!A28</x:f>
        <x:v>6100</x:v>
      </x:c>
      <x:c r="B28" s="16" t="str">
        <x:f>Mapping!B28</x:f>
        <x:v>Administrative Salaries</x:v>
      </x:c>
      <x:c r="C28" s="16" t="str">
        <x:f>Mapping!C28</x:f>
        <x:v>P&amp;L</x:v>
      </x:c>
      <x:c r="D28" s="16" t="str">
        <x:f>Mapping!D28</x:f>
        <x:v>Operating Expenses</x:v>
      </x:c>
      <x:c r="E28" s="19"/>
      <x:c r="F28" s="19"/>
      <x:c r="G28" s="20" t="n">
        <x:f>IF($C28="P&amp;L",('Raw TB'!C28-0)*Mapping!$F28,'Raw TB'!C28*Mapping!$F28)</x:f>
        <x:v>100</x:v>
      </x:c>
      <x:c r="H28" s="20" t="n">
        <x:f>IF($C28="P&amp;L",('Raw TB'!D28-'Raw TB'!C28)*Mapping!$F28,'Raw TB'!D28*Mapping!$F28)</x:f>
        <x:v>100</x:v>
      </x:c>
      <x:c r="I28" s="20" t="n">
        <x:f>IF($C28="P&amp;L",('Raw TB'!E28-'Raw TB'!D28)*Mapping!$F28,'Raw TB'!E28*Mapping!$F28)</x:f>
        <x:v>100</x:v>
      </x:c>
      <x:c r="J28" s="20" t="n">
        <x:f>IF($C28="P&amp;L",('Raw TB'!F28-'Raw TB'!E28)*Mapping!$F28,'Raw TB'!F28*Mapping!$F28)</x:f>
        <x:v>100</x:v>
      </x:c>
      <x:c r="K28" s="20" t="n">
        <x:f>IF($C28="P&amp;L",('Raw TB'!G28-'Raw TB'!F28)*Mapping!$F28,'Raw TB'!G28*Mapping!$F28)</x:f>
        <x:v>100</x:v>
      </x:c>
      <x:c r="L28" s="20" t="n">
        <x:f>IF($C28="P&amp;L",('Raw TB'!H28-'Raw TB'!G28)*Mapping!$F28,'Raw TB'!H28*Mapping!$F28)</x:f>
        <x:v>100</x:v>
      </x:c>
      <x:c r="M28" s="20" t="n">
        <x:f>IF($C28="P&amp;L",('Raw TB'!I28-'Raw TB'!H28)*Mapping!$F28,'Raw TB'!I28*Mapping!$F28)</x:f>
        <x:v>100</x:v>
      </x:c>
      <x:c r="N28" s="20" t="n">
        <x:f>IF($C28="P&amp;L",('Raw TB'!J28-'Raw TB'!I28)*Mapping!$F28,'Raw TB'!J28*Mapping!$F28)</x:f>
        <x:v>100</x:v>
      </x:c>
      <x:c r="O28" s="20" t="n">
        <x:f>IF($C28="P&amp;L",('Raw TB'!K28-'Raw TB'!J28)*Mapping!$F28,'Raw TB'!K28*Mapping!$F28)</x:f>
        <x:v>100</x:v>
      </x:c>
      <x:c r="P28" s="20" t="n">
        <x:f>IF($C28="P&amp;L",('Raw TB'!L28-'Raw TB'!K28)*Mapping!$F28,'Raw TB'!L28*Mapping!$F28)</x:f>
        <x:v>100</x:v>
      </x:c>
      <x:c r="Q28" s="20" t="n">
        <x:f>IF($C28="P&amp;L",('Raw TB'!M28-'Raw TB'!L28)*Mapping!$F28,'Raw TB'!M28*Mapping!$F28)</x:f>
        <x:v>100</x:v>
      </x:c>
      <x:c r="R28" s="20" t="n">
        <x:f>IF($C28="P&amp;L",('Raw TB'!N28-'Raw TB'!M28)*Mapping!$F28,'Raw TB'!N28*Mapping!$F28)</x:f>
        <x:v>100</x:v>
      </x:c>
    </x:row>
    <x:row r="29" ht="21" customHeight="1">
      <x:c r="A29" s="17" t="n">
        <x:f>Mapping!A29</x:f>
        <x:v>6115</x:v>
      </x:c>
      <x:c r="B29" s="16" t="str">
        <x:f>Mapping!B29</x:f>
        <x:v>Owner salary</x:v>
      </x:c>
      <x:c r="C29" s="16" t="str">
        <x:f>Mapping!C29</x:f>
        <x:v>P&amp;L</x:v>
      </x:c>
      <x:c r="D29" s="16" t="str">
        <x:f>Mapping!D29</x:f>
        <x:v>Operating Expenses</x:v>
      </x:c>
      <x:c r="E29" s="19"/>
      <x:c r="F29" s="19"/>
      <x:c r="G29" s="20" t="n">
        <x:f>IF($C29="P&amp;L",('Raw TB'!C29-0)*Mapping!$F29,'Raw TB'!C29*Mapping!$F29)</x:f>
        <x:v>29.167</x:v>
      </x:c>
      <x:c r="H29" s="20" t="n">
        <x:f>IF($C29="P&amp;L",('Raw TB'!D29-'Raw TB'!C29)*Mapping!$F29,'Raw TB'!D29*Mapping!$F29)</x:f>
        <x:v>29.167</x:v>
      </x:c>
      <x:c r="I29" s="20" t="n">
        <x:f>IF($C29="P&amp;L",('Raw TB'!E29-'Raw TB'!D29)*Mapping!$F29,'Raw TB'!E29*Mapping!$F29)</x:f>
        <x:v>29.167</x:v>
      </x:c>
      <x:c r="J29" s="20" t="n">
        <x:f>IF($C29="P&amp;L",('Raw TB'!F29-'Raw TB'!E29)*Mapping!$F29,'Raw TB'!F29*Mapping!$F29)</x:f>
        <x:v>29.167</x:v>
      </x:c>
      <x:c r="K29" s="20" t="n">
        <x:f>IF($C29="P&amp;L",('Raw TB'!G29-'Raw TB'!F29)*Mapping!$F29,'Raw TB'!G29*Mapping!$F29)</x:f>
        <x:v>29.167</x:v>
      </x:c>
      <x:c r="L29" s="20" t="n">
        <x:f>IF($C29="P&amp;L",('Raw TB'!H29-'Raw TB'!G29)*Mapping!$F29,'Raw TB'!H29*Mapping!$F29)</x:f>
        <x:v>29.167</x:v>
      </x:c>
      <x:c r="M29" s="20" t="n">
        <x:f>IF($C29="P&amp;L",('Raw TB'!I29-'Raw TB'!H29)*Mapping!$F29,'Raw TB'!I29*Mapping!$F29)</x:f>
        <x:v>29.167</x:v>
      </x:c>
      <x:c r="N29" s="20" t="n">
        <x:f>IF($C29="P&amp;L",('Raw TB'!J29-'Raw TB'!I29)*Mapping!$F29,'Raw TB'!J29*Mapping!$F29)</x:f>
        <x:v>29.167</x:v>
      </x:c>
      <x:c r="O29" s="20" t="n">
        <x:f>IF($C29="P&amp;L",('Raw TB'!K29-'Raw TB'!J29)*Mapping!$F29,'Raw TB'!K29*Mapping!$F29)</x:f>
        <x:v>29.16700000000003</x:v>
      </x:c>
      <x:c r="P29" s="20" t="n">
        <x:f>IF($C29="P&amp;L",('Raw TB'!L29-'Raw TB'!K29)*Mapping!$F29,'Raw TB'!L29*Mapping!$F29)</x:f>
        <x:v>29.16700000000003</x:v>
      </x:c>
      <x:c r="Q29" s="20" t="n">
        <x:f>IF($C29="P&amp;L",('Raw TB'!M29-'Raw TB'!L29)*Mapping!$F29,'Raw TB'!M29*Mapping!$F29)</x:f>
        <x:v>29.16700000000003</x:v>
      </x:c>
      <x:c r="R29" s="20" t="n">
        <x:f>IF($C29="P&amp;L",('Raw TB'!N29-'Raw TB'!M29)*Mapping!$F29,'Raw TB'!N29*Mapping!$F29)</x:f>
        <x:v>29.162999999999897</x:v>
      </x:c>
    </x:row>
    <x:row r="30" ht="21" customHeight="1">
      <x:c r="A30" s="17" t="n">
        <x:f>Mapping!A30</x:f>
        <x:v>6116</x:v>
      </x:c>
      <x:c r="B30" s="16" t="str">
        <x:f>Mapping!B30</x:f>
        <x:v>Owner bonus</x:v>
      </x:c>
      <x:c r="C30" s="16" t="str">
        <x:f>Mapping!C30</x:f>
        <x:v>P&amp;L</x:v>
      </x:c>
      <x:c r="D30" s="16" t="str">
        <x:f>Mapping!D30</x:f>
        <x:v>Operating Expenses</x:v>
      </x:c>
      <x:c r="E30" s="19"/>
      <x:c r="F30" s="19"/>
      <x:c r="G30" s="20" t="n">
        <x:f>IF($C30="P&amp;L",('Raw TB'!C30-0)*Mapping!$F30,'Raw TB'!C30*Mapping!$F30)</x:f>
        <x:v>3.333</x:v>
      </x:c>
      <x:c r="H30" s="20" t="n">
        <x:f>IF($C30="P&amp;L",('Raw TB'!D30-'Raw TB'!C30)*Mapping!$F30,'Raw TB'!D30*Mapping!$F30)</x:f>
        <x:v>3.333</x:v>
      </x:c>
      <x:c r="I30" s="20" t="n">
        <x:f>IF($C30="P&amp;L",('Raw TB'!E30-'Raw TB'!D30)*Mapping!$F30,'Raw TB'!E30*Mapping!$F30)</x:f>
        <x:v>3.333</x:v>
      </x:c>
      <x:c r="J30" s="20" t="n">
        <x:f>IF($C30="P&amp;L",('Raw TB'!F30-'Raw TB'!E30)*Mapping!$F30,'Raw TB'!F30*Mapping!$F30)</x:f>
        <x:v>3.333</x:v>
      </x:c>
      <x:c r="K30" s="20" t="n">
        <x:f>IF($C30="P&amp;L",('Raw TB'!G30-'Raw TB'!F30)*Mapping!$F30,'Raw TB'!G30*Mapping!$F30)</x:f>
        <x:v>3.3329999999999984</x:v>
      </x:c>
      <x:c r="L30" s="20" t="n">
        <x:f>IF($C30="P&amp;L",('Raw TB'!H30-'Raw TB'!G30)*Mapping!$F30,'Raw TB'!H30*Mapping!$F30)</x:f>
        <x:v>3.3329999999999984</x:v>
      </x:c>
      <x:c r="M30" s="20" t="n">
        <x:f>IF($C30="P&amp;L",('Raw TB'!I30-'Raw TB'!H30)*Mapping!$F30,'Raw TB'!I30*Mapping!$F30)</x:f>
        <x:v>3.3329999999999984</x:v>
      </x:c>
      <x:c r="N30" s="20" t="n">
        <x:f>IF($C30="P&amp;L",('Raw TB'!J30-'Raw TB'!I30)*Mapping!$F30,'Raw TB'!J30*Mapping!$F30)</x:f>
        <x:v>3.3329999999999984</x:v>
      </x:c>
      <x:c r="O30" s="20" t="n">
        <x:f>IF($C30="P&amp;L",('Raw TB'!K30-'Raw TB'!J30)*Mapping!$F30,'Raw TB'!K30*Mapping!$F30)</x:f>
        <x:v>3.3329999999999984</x:v>
      </x:c>
      <x:c r="P30" s="20" t="n">
        <x:f>IF($C30="P&amp;L",('Raw TB'!L30-'Raw TB'!K30)*Mapping!$F30,'Raw TB'!L30*Mapping!$F30)</x:f>
        <x:v>3.3329999999999984</x:v>
      </x:c>
      <x:c r="Q30" s="20" t="n">
        <x:f>IF($C30="P&amp;L",('Raw TB'!M30-'Raw TB'!L30)*Mapping!$F30,'Raw TB'!M30*Mapping!$F30)</x:f>
        <x:v>3.3329999999999984</x:v>
      </x:c>
      <x:c r="R30" s="20" t="n">
        <x:f>IF($C30="P&amp;L",('Raw TB'!N30-'Raw TB'!M30)*Mapping!$F30,'Raw TB'!N30*Mapping!$F30)</x:f>
        <x:v>3.3370000000000104</x:v>
      </x:c>
    </x:row>
    <x:row r="31" ht="21" customHeight="1">
      <x:c r="A31" s="17" t="n">
        <x:f>Mapping!A31</x:f>
        <x:v>6117</x:v>
      </x:c>
      <x:c r="B31" s="16" t="str">
        <x:f>Mapping!B31</x:f>
        <x:v>Owner benefits</x:v>
      </x:c>
      <x:c r="C31" s="16" t="str">
        <x:f>Mapping!C31</x:f>
        <x:v>P&amp;L</x:v>
      </x:c>
      <x:c r="D31" s="16" t="str">
        <x:f>Mapping!D31</x:f>
        <x:v>Operating Expenses</x:v>
      </x:c>
      <x:c r="E31" s="19"/>
      <x:c r="F31" s="19"/>
      <x:c r="G31" s="20" t="n">
        <x:f>IF($C31="P&amp;L",('Raw TB'!C31-0)*Mapping!$F31,'Raw TB'!C31*Mapping!$F31)</x:f>
        <x:v>2.917</x:v>
      </x:c>
      <x:c r="H31" s="20" t="n">
        <x:f>IF($C31="P&amp;L",('Raw TB'!D31-'Raw TB'!C31)*Mapping!$F31,'Raw TB'!D31*Mapping!$F31)</x:f>
        <x:v>2.917</x:v>
      </x:c>
      <x:c r="I31" s="20" t="n">
        <x:f>IF($C31="P&amp;L",('Raw TB'!E31-'Raw TB'!D31)*Mapping!$F31,'Raw TB'!E31*Mapping!$F31)</x:f>
        <x:v>2.917</x:v>
      </x:c>
      <x:c r="J31" s="20" t="n">
        <x:f>IF($C31="P&amp;L",('Raw TB'!F31-'Raw TB'!E31)*Mapping!$F31,'Raw TB'!F31*Mapping!$F31)</x:f>
        <x:v>2.917</x:v>
      </x:c>
      <x:c r="K31" s="20" t="n">
        <x:f>IF($C31="P&amp;L",('Raw TB'!G31-'Raw TB'!F31)*Mapping!$F31,'Raw TB'!G31*Mapping!$F31)</x:f>
        <x:v>2.917</x:v>
      </x:c>
      <x:c r="L31" s="20" t="n">
        <x:f>IF($C31="P&amp;L",('Raw TB'!H31-'Raw TB'!G31)*Mapping!$F31,'Raw TB'!H31*Mapping!$F31)</x:f>
        <x:v>2.917</x:v>
      </x:c>
      <x:c r="M31" s="20" t="n">
        <x:f>IF($C31="P&amp;L",('Raw TB'!I31-'Raw TB'!H31)*Mapping!$F31,'Raw TB'!I31*Mapping!$F31)</x:f>
        <x:v>2.916999999999998</x:v>
      </x:c>
      <x:c r="N31" s="20" t="n">
        <x:f>IF($C31="P&amp;L",('Raw TB'!J31-'Raw TB'!I31)*Mapping!$F31,'Raw TB'!J31*Mapping!$F31)</x:f>
        <x:v>2.9170000000000016</x:v>
      </x:c>
      <x:c r="O31" s="20" t="n">
        <x:f>IF($C31="P&amp;L",('Raw TB'!K31-'Raw TB'!J31)*Mapping!$F31,'Raw TB'!K31*Mapping!$F31)</x:f>
        <x:v>2.9170000000000016</x:v>
      </x:c>
      <x:c r="P31" s="20" t="n">
        <x:f>IF($C31="P&amp;L",('Raw TB'!L31-'Raw TB'!K31)*Mapping!$F31,'Raw TB'!L31*Mapping!$F31)</x:f>
        <x:v>2.9170000000000016</x:v>
      </x:c>
      <x:c r="Q31" s="20" t="n">
        <x:f>IF($C31="P&amp;L",('Raw TB'!M31-'Raw TB'!L31)*Mapping!$F31,'Raw TB'!M31*Mapping!$F31)</x:f>
        <x:v>2.9170000000000016</x:v>
      </x:c>
      <x:c r="R31" s="20" t="n">
        <x:f>IF($C31="P&amp;L",('Raw TB'!N31-'Raw TB'!M31)*Mapping!$F31,'Raw TB'!N31*Mapping!$F31)</x:f>
        <x:v>2.9129999999999967</x:v>
      </x:c>
    </x:row>
    <x:row r="32" ht="21" customHeight="1">
      <x:c r="A32" s="17" t="n">
        <x:f>Mapping!A32</x:f>
        <x:v>6120</x:v>
      </x:c>
      <x:c r="B32" s="16" t="str">
        <x:f>Mapping!B32</x:f>
        <x:v>Sales &amp; Marketing</x:v>
      </x:c>
      <x:c r="C32" s="16" t="str">
        <x:f>Mapping!C32</x:f>
        <x:v>P&amp;L</x:v>
      </x:c>
      <x:c r="D32" s="16" t="str">
        <x:f>Mapping!D32</x:f>
        <x:v>Operating Expenses</x:v>
      </x:c>
      <x:c r="E32" s="19"/>
      <x:c r="F32" s="19"/>
      <x:c r="G32" s="20" t="n">
        <x:f>IF($C32="P&amp;L",('Raw TB'!C32-0)*Mapping!$F32,'Raw TB'!C32*Mapping!$F32)</x:f>
        <x:v>25</x:v>
      </x:c>
      <x:c r="H32" s="20" t="n">
        <x:f>IF($C32="P&amp;L",('Raw TB'!D32-'Raw TB'!C32)*Mapping!$F32,'Raw TB'!D32*Mapping!$F32)</x:f>
        <x:v>25</x:v>
      </x:c>
      <x:c r="I32" s="20" t="n">
        <x:f>IF($C32="P&amp;L",('Raw TB'!E32-'Raw TB'!D32)*Mapping!$F32,'Raw TB'!E32*Mapping!$F32)</x:f>
        <x:v>25</x:v>
      </x:c>
      <x:c r="J32" s="20" t="n">
        <x:f>IF($C32="P&amp;L",('Raw TB'!F32-'Raw TB'!E32)*Mapping!$F32,'Raw TB'!F32*Mapping!$F32)</x:f>
        <x:v>25</x:v>
      </x:c>
      <x:c r="K32" s="20" t="n">
        <x:f>IF($C32="P&amp;L",('Raw TB'!G32-'Raw TB'!F32)*Mapping!$F32,'Raw TB'!G32*Mapping!$F32)</x:f>
        <x:v>25</x:v>
      </x:c>
      <x:c r="L32" s="20" t="n">
        <x:f>IF($C32="P&amp;L",('Raw TB'!H32-'Raw TB'!G32)*Mapping!$F32,'Raw TB'!H32*Mapping!$F32)</x:f>
        <x:v>25</x:v>
      </x:c>
      <x:c r="M32" s="20" t="n">
        <x:f>IF($C32="P&amp;L",('Raw TB'!I32-'Raw TB'!H32)*Mapping!$F32,'Raw TB'!I32*Mapping!$F32)</x:f>
        <x:v>25</x:v>
      </x:c>
      <x:c r="N32" s="20" t="n">
        <x:f>IF($C32="P&amp;L",('Raw TB'!J32-'Raw TB'!I32)*Mapping!$F32,'Raw TB'!J32*Mapping!$F32)</x:f>
        <x:v>25</x:v>
      </x:c>
      <x:c r="O32" s="20" t="n">
        <x:f>IF($C32="P&amp;L",('Raw TB'!K32-'Raw TB'!J32)*Mapping!$F32,'Raw TB'!K32*Mapping!$F32)</x:f>
        <x:v>25</x:v>
      </x:c>
      <x:c r="P32" s="20" t="n">
        <x:f>IF($C32="P&amp;L",('Raw TB'!L32-'Raw TB'!K32)*Mapping!$F32,'Raw TB'!L32*Mapping!$F32)</x:f>
        <x:v>25</x:v>
      </x:c>
      <x:c r="Q32" s="20" t="n">
        <x:f>IF($C32="P&amp;L",('Raw TB'!M32-'Raw TB'!L32)*Mapping!$F32,'Raw TB'!M32*Mapping!$F32)</x:f>
        <x:v>25</x:v>
      </x:c>
      <x:c r="R32" s="20" t="n">
        <x:f>IF($C32="P&amp;L",('Raw TB'!N32-'Raw TB'!M32)*Mapping!$F32,'Raw TB'!N32*Mapping!$F32)</x:f>
        <x:v>25</x:v>
      </x:c>
    </x:row>
    <x:row r="33" ht="21" customHeight="1">
      <x:c r="A33" s="17" t="n">
        <x:f>Mapping!A33</x:f>
        <x:v>6125</x:v>
      </x:c>
      <x:c r="B33" s="16" t="str">
        <x:f>Mapping!B33</x:f>
        <x:v>Employee Bonus Expense</x:v>
      </x:c>
      <x:c r="C33" s="16" t="str">
        <x:f>Mapping!C33</x:f>
        <x:v>P&amp;L</x:v>
      </x:c>
      <x:c r="D33" s="16" t="str">
        <x:f>Mapping!D33</x:f>
        <x:v>Operating Expenses</x:v>
      </x:c>
      <x:c r="E33" s="19"/>
      <x:c r="F33" s="19"/>
      <x:c r="G33" s="20" t="n">
        <x:f>IF($C33="P&amp;L",('Raw TB'!C33-0)*Mapping!$F33,'Raw TB'!C33*Mapping!$F33)</x:f>
        <x:v>15</x:v>
      </x:c>
      <x:c r="H33" s="20" t="n">
        <x:f>IF($C33="P&amp;L",('Raw TB'!D33-'Raw TB'!C33)*Mapping!$F33,'Raw TB'!D33*Mapping!$F33)</x:f>
        <x:v>15</x:v>
      </x:c>
      <x:c r="I33" s="20" t="n">
        <x:f>IF($C33="P&amp;L",('Raw TB'!E33-'Raw TB'!D33)*Mapping!$F33,'Raw TB'!E33*Mapping!$F33)</x:f>
        <x:v>15</x:v>
      </x:c>
      <x:c r="J33" s="20" t="n">
        <x:f>IF($C33="P&amp;L",('Raw TB'!F33-'Raw TB'!E33)*Mapping!$F33,'Raw TB'!F33*Mapping!$F33)</x:f>
        <x:v>15</x:v>
      </x:c>
      <x:c r="K33" s="20" t="n">
        <x:f>IF($C33="P&amp;L",('Raw TB'!G33-'Raw TB'!F33)*Mapping!$F33,'Raw TB'!G33*Mapping!$F33)</x:f>
        <x:v>15</x:v>
      </x:c>
      <x:c r="L33" s="20" t="n">
        <x:f>IF($C33="P&amp;L",('Raw TB'!H33-'Raw TB'!G33)*Mapping!$F33,'Raw TB'!H33*Mapping!$F33)</x:f>
        <x:v>15</x:v>
      </x:c>
      <x:c r="M33" s="20" t="n">
        <x:f>IF($C33="P&amp;L",('Raw TB'!I33-'Raw TB'!H33)*Mapping!$F33,'Raw TB'!I33*Mapping!$F33)</x:f>
        <x:v>15</x:v>
      </x:c>
      <x:c r="N33" s="20" t="n">
        <x:f>IF($C33="P&amp;L",('Raw TB'!J33-'Raw TB'!I33)*Mapping!$F33,'Raw TB'!J33*Mapping!$F33)</x:f>
        <x:v>15</x:v>
      </x:c>
      <x:c r="O33" s="20" t="n">
        <x:f>IF($C33="P&amp;L",('Raw TB'!K33-'Raw TB'!J33)*Mapping!$F33,'Raw TB'!K33*Mapping!$F33)</x:f>
        <x:v>15</x:v>
      </x:c>
      <x:c r="P33" s="20" t="n">
        <x:f>IF($C33="P&amp;L",('Raw TB'!L33-'Raw TB'!K33)*Mapping!$F33,'Raw TB'!L33*Mapping!$F33)</x:f>
        <x:v>15</x:v>
      </x:c>
      <x:c r="Q33" s="20" t="n">
        <x:f>IF($C33="P&amp;L",('Raw TB'!M33-'Raw TB'!L33)*Mapping!$F33,'Raw TB'!M33*Mapping!$F33)</x:f>
        <x:v>15</x:v>
      </x:c>
      <x:c r="R33" s="20" t="n">
        <x:f>IF($C33="P&amp;L",('Raw TB'!N33-'Raw TB'!M33)*Mapping!$F33,'Raw TB'!N33*Mapping!$F33)</x:f>
        <x:v>15</x:v>
      </x:c>
    </x:row>
    <x:row r="34" ht="21" customHeight="1">
      <x:c r="A34" s="17" t="n">
        <x:f>Mapping!A34</x:f>
        <x:v>6200</x:v>
      </x:c>
      <x:c r="B34" s="16" t="str">
        <x:f>Mapping!B34</x:f>
        <x:v>Insurance</x:v>
      </x:c>
      <x:c r="C34" s="16" t="str">
        <x:f>Mapping!C34</x:f>
        <x:v>P&amp;L</x:v>
      </x:c>
      <x:c r="D34" s="16" t="str">
        <x:f>Mapping!D34</x:f>
        <x:v>Operating Expenses</x:v>
      </x:c>
      <x:c r="E34" s="19"/>
      <x:c r="F34" s="19"/>
      <x:c r="G34" s="20" t="n">
        <x:f>IF($C34="P&amp;L",('Raw TB'!C34-0)*Mapping!$F34,'Raw TB'!C34*Mapping!$F34)</x:f>
        <x:v>29.167</x:v>
      </x:c>
      <x:c r="H34" s="20" t="n">
        <x:f>IF($C34="P&amp;L",('Raw TB'!D34-'Raw TB'!C34)*Mapping!$F34,'Raw TB'!D34*Mapping!$F34)</x:f>
        <x:v>29.165999999999997</x:v>
      </x:c>
      <x:c r="I34" s="20" t="n">
        <x:f>IF($C34="P&amp;L",('Raw TB'!E34-'Raw TB'!D34)*Mapping!$F34,'Raw TB'!E34*Mapping!$F34)</x:f>
        <x:v>29.167</x:v>
      </x:c>
      <x:c r="J34" s="20" t="n">
        <x:f>IF($C34="P&amp;L",('Raw TB'!F34-'Raw TB'!E34)*Mapping!$F34,'Raw TB'!F34*Mapping!$F34)</x:f>
        <x:v>29.167</x:v>
      </x:c>
      <x:c r="K34" s="20" t="n">
        <x:f>IF($C34="P&amp;L",('Raw TB'!G34-'Raw TB'!F34)*Mapping!$F34,'Raw TB'!G34*Mapping!$F34)</x:f>
        <x:v>29.165999999999997</x:v>
      </x:c>
      <x:c r="L34" s="20" t="n">
        <x:f>IF($C34="P&amp;L",('Raw TB'!H34-'Raw TB'!G34)*Mapping!$F34,'Raw TB'!H34*Mapping!$F34)</x:f>
        <x:v>29.167</x:v>
      </x:c>
      <x:c r="M34" s="20" t="n">
        <x:f>IF($C34="P&amp;L",('Raw TB'!I34-'Raw TB'!H34)*Mapping!$F34,'Raw TB'!I34*Mapping!$F34)</x:f>
        <x:v>29.167</x:v>
      </x:c>
      <x:c r="N34" s="20" t="n">
        <x:f>IF($C34="P&amp;L",('Raw TB'!J34-'Raw TB'!I34)*Mapping!$F34,'Raw TB'!J34*Mapping!$F34)</x:f>
        <x:v>29.165999999999997</x:v>
      </x:c>
      <x:c r="O34" s="20" t="n">
        <x:f>IF($C34="P&amp;L",('Raw TB'!K34-'Raw TB'!J34)*Mapping!$F34,'Raw TB'!K34*Mapping!$F34)</x:f>
        <x:v>29.167</x:v>
      </x:c>
      <x:c r="P34" s="20" t="n">
        <x:f>IF($C34="P&amp;L",('Raw TB'!L34-'Raw TB'!K34)*Mapping!$F34,'Raw TB'!L34*Mapping!$F34)</x:f>
        <x:v>29.166999999999973</x:v>
      </x:c>
      <x:c r="Q34" s="20" t="n">
        <x:f>IF($C34="P&amp;L",('Raw TB'!M34-'Raw TB'!L34)*Mapping!$F34,'Raw TB'!M34*Mapping!$F34)</x:f>
        <x:v>29.166000000000054</x:v>
      </x:c>
      <x:c r="R34" s="20" t="n">
        <x:f>IF($C34="P&amp;L",('Raw TB'!N34-'Raw TB'!M34)*Mapping!$F34,'Raw TB'!N34*Mapping!$F34)</x:f>
        <x:v>29.166999999999973</x:v>
      </x:c>
    </x:row>
    <x:row r="35" ht="21" customHeight="1">
      <x:c r="A35" s="17" t="n">
        <x:f>Mapping!A35</x:f>
        <x:v>6210</x:v>
      </x:c>
      <x:c r="B35" s="16" t="str">
        <x:f>Mapping!B35</x:f>
        <x:v>Related-Party Rent</x:v>
      </x:c>
      <x:c r="C35" s="16" t="str">
        <x:f>Mapping!C35</x:f>
        <x:v>P&amp;L</x:v>
      </x:c>
      <x:c r="D35" s="16" t="str">
        <x:f>Mapping!D35</x:f>
        <x:v>Operating Expenses</x:v>
      </x:c>
      <x:c r="E35" s="19"/>
      <x:c r="F35" s="19"/>
      <x:c r="G35" s="20" t="n">
        <x:f>IF($C35="P&amp;L",('Raw TB'!C35-0)*Mapping!$F35,'Raw TB'!C35*Mapping!$F35)</x:f>
        <x:v>10</x:v>
      </x:c>
      <x:c r="H35" s="20" t="n">
        <x:f>IF($C35="P&amp;L",('Raw TB'!D35-'Raw TB'!C35)*Mapping!$F35,'Raw TB'!D35*Mapping!$F35)</x:f>
        <x:v>10</x:v>
      </x:c>
      <x:c r="I35" s="20" t="n">
        <x:f>IF($C35="P&amp;L",('Raw TB'!E35-'Raw TB'!D35)*Mapping!$F35,'Raw TB'!E35*Mapping!$F35)</x:f>
        <x:v>10</x:v>
      </x:c>
      <x:c r="J35" s="20" t="n">
        <x:f>IF($C35="P&amp;L",('Raw TB'!F35-'Raw TB'!E35)*Mapping!$F35,'Raw TB'!F35*Mapping!$F35)</x:f>
        <x:v>10</x:v>
      </x:c>
      <x:c r="K35" s="20" t="n">
        <x:f>IF($C35="P&amp;L",('Raw TB'!G35-'Raw TB'!F35)*Mapping!$F35,'Raw TB'!G35*Mapping!$F35)</x:f>
        <x:v>10</x:v>
      </x:c>
      <x:c r="L35" s="20" t="n">
        <x:f>IF($C35="P&amp;L",('Raw TB'!H35-'Raw TB'!G35)*Mapping!$F35,'Raw TB'!H35*Mapping!$F35)</x:f>
        <x:v>10</x:v>
      </x:c>
      <x:c r="M35" s="20" t="n">
        <x:f>IF($C35="P&amp;L",('Raw TB'!I35-'Raw TB'!H35)*Mapping!$F35,'Raw TB'!I35*Mapping!$F35)</x:f>
        <x:v>10</x:v>
      </x:c>
      <x:c r="N35" s="20" t="n">
        <x:f>IF($C35="P&amp;L",('Raw TB'!J35-'Raw TB'!I35)*Mapping!$F35,'Raw TB'!J35*Mapping!$F35)</x:f>
        <x:v>10</x:v>
      </x:c>
      <x:c r="O35" s="20" t="n">
        <x:f>IF($C35="P&amp;L",('Raw TB'!K35-'Raw TB'!J35)*Mapping!$F35,'Raw TB'!K35*Mapping!$F35)</x:f>
        <x:v>10</x:v>
      </x:c>
      <x:c r="P35" s="20" t="n">
        <x:f>IF($C35="P&amp;L",('Raw TB'!L35-'Raw TB'!K35)*Mapping!$F35,'Raw TB'!L35*Mapping!$F35)</x:f>
        <x:v>10</x:v>
      </x:c>
      <x:c r="Q35" s="20" t="n">
        <x:f>IF($C35="P&amp;L",('Raw TB'!M35-'Raw TB'!L35)*Mapping!$F35,'Raw TB'!M35*Mapping!$F35)</x:f>
        <x:v>10</x:v>
      </x:c>
      <x:c r="R35" s="20" t="n">
        <x:f>IF($C35="P&amp;L",('Raw TB'!N35-'Raw TB'!M35)*Mapping!$F35,'Raw TB'!N35*Mapping!$F35)</x:f>
        <x:v>10</x:v>
      </x:c>
    </x:row>
    <x:row r="36" ht="21" customHeight="1">
      <x:c r="A36" s="17" t="n">
        <x:f>Mapping!A36</x:f>
        <x:v>6215</x:v>
      </x:c>
      <x:c r="B36" s="16" t="str">
        <x:f>Mapping!B36</x:f>
        <x:v>Occupancy operating charges</x:v>
      </x:c>
      <x:c r="C36" s="16" t="str">
        <x:f>Mapping!C36</x:f>
        <x:v>P&amp;L</x:v>
      </x:c>
      <x:c r="D36" s="16" t="str">
        <x:f>Mapping!D36</x:f>
        <x:v>Operating Expenses</x:v>
      </x:c>
      <x:c r="E36" s="19"/>
      <x:c r="F36" s="19"/>
      <x:c r="G36" s="20" t="n">
        <x:f>IF($C36="P&amp;L",('Raw TB'!C36-0)*Mapping!$F36,'Raw TB'!C36*Mapping!$F36)</x:f>
        <x:v>5</x:v>
      </x:c>
      <x:c r="H36" s="20" t="n">
        <x:f>IF($C36="P&amp;L",('Raw TB'!D36-'Raw TB'!C36)*Mapping!$F36,'Raw TB'!D36*Mapping!$F36)</x:f>
        <x:v>5</x:v>
      </x:c>
      <x:c r="I36" s="20" t="n">
        <x:f>IF($C36="P&amp;L",('Raw TB'!E36-'Raw TB'!D36)*Mapping!$F36,'Raw TB'!E36*Mapping!$F36)</x:f>
        <x:v>5</x:v>
      </x:c>
      <x:c r="J36" s="20" t="n">
        <x:f>IF($C36="P&amp;L",('Raw TB'!F36-'Raw TB'!E36)*Mapping!$F36,'Raw TB'!F36*Mapping!$F36)</x:f>
        <x:v>5</x:v>
      </x:c>
      <x:c r="K36" s="20" t="n">
        <x:f>IF($C36="P&amp;L",('Raw TB'!G36-'Raw TB'!F36)*Mapping!$F36,'Raw TB'!G36*Mapping!$F36)</x:f>
        <x:v>5</x:v>
      </x:c>
      <x:c r="L36" s="20" t="n">
        <x:f>IF($C36="P&amp;L",('Raw TB'!H36-'Raw TB'!G36)*Mapping!$F36,'Raw TB'!H36*Mapping!$F36)</x:f>
        <x:v>5</x:v>
      </x:c>
      <x:c r="M36" s="20" t="n">
        <x:f>IF($C36="P&amp;L",('Raw TB'!I36-'Raw TB'!H36)*Mapping!$F36,'Raw TB'!I36*Mapping!$F36)</x:f>
        <x:v>5</x:v>
      </x:c>
      <x:c r="N36" s="20" t="n">
        <x:f>IF($C36="P&amp;L",('Raw TB'!J36-'Raw TB'!I36)*Mapping!$F36,'Raw TB'!J36*Mapping!$F36)</x:f>
        <x:v>5</x:v>
      </x:c>
      <x:c r="O36" s="20" t="n">
        <x:f>IF($C36="P&amp;L",('Raw TB'!K36-'Raw TB'!J36)*Mapping!$F36,'Raw TB'!K36*Mapping!$F36)</x:f>
        <x:v>5</x:v>
      </x:c>
      <x:c r="P36" s="20" t="n">
        <x:f>IF($C36="P&amp;L",('Raw TB'!L36-'Raw TB'!K36)*Mapping!$F36,'Raw TB'!L36*Mapping!$F36)</x:f>
        <x:v>5</x:v>
      </x:c>
      <x:c r="Q36" s="20" t="n">
        <x:f>IF($C36="P&amp;L",('Raw TB'!M36-'Raw TB'!L36)*Mapping!$F36,'Raw TB'!M36*Mapping!$F36)</x:f>
        <x:v>5</x:v>
      </x:c>
      <x:c r="R36" s="20" t="n">
        <x:f>IF($C36="P&amp;L",('Raw TB'!N36-'Raw TB'!M36)*Mapping!$F36,'Raw TB'!N36*Mapping!$F36)</x:f>
        <x:v>5</x:v>
      </x:c>
    </x:row>
    <x:row r="37" ht="21" customHeight="1">
      <x:c r="A37" s="17" t="n">
        <x:f>Mapping!A37</x:f>
        <x:v>6220</x:v>
      </x:c>
      <x:c r="B37" s="16" t="str">
        <x:f>Mapping!B37</x:f>
        <x:v>Vehicle &amp; Fuel</x:v>
      </x:c>
      <x:c r="C37" s="16" t="str">
        <x:f>Mapping!C37</x:f>
        <x:v>P&amp;L</x:v>
      </x:c>
      <x:c r="D37" s="16" t="str">
        <x:f>Mapping!D37</x:f>
        <x:v>Operating Expenses</x:v>
      </x:c>
      <x:c r="E37" s="19"/>
      <x:c r="F37" s="19"/>
      <x:c r="G37" s="20" t="n">
        <x:f>IF($C37="P&amp;L",('Raw TB'!C37-0)*Mapping!$F37,'Raw TB'!C37*Mapping!$F37)</x:f>
        <x:v>37.5</x:v>
      </x:c>
      <x:c r="H37" s="20" t="n">
        <x:f>IF($C37="P&amp;L",('Raw TB'!D37-'Raw TB'!C37)*Mapping!$F37,'Raw TB'!D37*Mapping!$F37)</x:f>
        <x:v>37.5</x:v>
      </x:c>
      <x:c r="I37" s="20" t="n">
        <x:f>IF($C37="P&amp;L",('Raw TB'!E37-'Raw TB'!D37)*Mapping!$F37,'Raw TB'!E37*Mapping!$F37)</x:f>
        <x:v>37.5</x:v>
      </x:c>
      <x:c r="J37" s="20" t="n">
        <x:f>IF($C37="P&amp;L",('Raw TB'!F37-'Raw TB'!E37)*Mapping!$F37,'Raw TB'!F37*Mapping!$F37)</x:f>
        <x:v>37.5</x:v>
      </x:c>
      <x:c r="K37" s="20" t="n">
        <x:f>IF($C37="P&amp;L",('Raw TB'!G37-'Raw TB'!F37)*Mapping!$F37,'Raw TB'!G37*Mapping!$F37)</x:f>
        <x:v>37.5</x:v>
      </x:c>
      <x:c r="L37" s="20" t="n">
        <x:f>IF($C37="P&amp;L",('Raw TB'!H37-'Raw TB'!G37)*Mapping!$F37,'Raw TB'!H37*Mapping!$F37)</x:f>
        <x:v>37.5</x:v>
      </x:c>
      <x:c r="M37" s="20" t="n">
        <x:f>IF($C37="P&amp;L",('Raw TB'!I37-'Raw TB'!H37)*Mapping!$F37,'Raw TB'!I37*Mapping!$F37)</x:f>
        <x:v>37.5</x:v>
      </x:c>
      <x:c r="N37" s="20" t="n">
        <x:f>IF($C37="P&amp;L",('Raw TB'!J37-'Raw TB'!I37)*Mapping!$F37,'Raw TB'!J37*Mapping!$F37)</x:f>
        <x:v>37.5</x:v>
      </x:c>
      <x:c r="O37" s="20" t="n">
        <x:f>IF($C37="P&amp;L",('Raw TB'!K37-'Raw TB'!J37)*Mapping!$F37,'Raw TB'!K37*Mapping!$F37)</x:f>
        <x:v>37.5</x:v>
      </x:c>
      <x:c r="P37" s="20" t="n">
        <x:f>IF($C37="P&amp;L",('Raw TB'!L37-'Raw TB'!K37)*Mapping!$F37,'Raw TB'!L37*Mapping!$F37)</x:f>
        <x:v>37.5</x:v>
      </x:c>
      <x:c r="Q37" s="20" t="n">
        <x:f>IF($C37="P&amp;L",('Raw TB'!M37-'Raw TB'!L37)*Mapping!$F37,'Raw TB'!M37*Mapping!$F37)</x:f>
        <x:v>37.5</x:v>
      </x:c>
      <x:c r="R37" s="20" t="n">
        <x:f>IF($C37="P&amp;L",('Raw TB'!N37-'Raw TB'!M37)*Mapping!$F37,'Raw TB'!N37*Mapping!$F37)</x:f>
        <x:v>37.5</x:v>
      </x:c>
    </x:row>
    <x:row r="38" ht="21" customHeight="1">
      <x:c r="A38" s="17" t="n">
        <x:f>Mapping!A38</x:f>
        <x:v>6230</x:v>
      </x:c>
      <x:c r="B38" s="16" t="str">
        <x:f>Mapping!B38</x:f>
        <x:v>Professional Fees</x:v>
      </x:c>
      <x:c r="C38" s="16" t="str">
        <x:f>Mapping!C38</x:f>
        <x:v>P&amp;L</x:v>
      </x:c>
      <x:c r="D38" s="16" t="str">
        <x:f>Mapping!D38</x:f>
        <x:v>Operating Expenses</x:v>
      </x:c>
      <x:c r="E38" s="19"/>
      <x:c r="F38" s="19"/>
      <x:c r="G38" s="20" t="n">
        <x:f>IF($C38="P&amp;L",('Raw TB'!C38-0)*Mapping!$F38,'Raw TB'!C38*Mapping!$F38)</x:f>
        <x:v>8.333</x:v>
      </x:c>
      <x:c r="H38" s="20" t="n">
        <x:f>IF($C38="P&amp;L",('Raw TB'!D38-'Raw TB'!C38)*Mapping!$F38,'Raw TB'!D38*Mapping!$F38)</x:f>
        <x:v>8.334000000000001</x:v>
      </x:c>
      <x:c r="I38" s="20" t="n">
        <x:f>IF($C38="P&amp;L",('Raw TB'!E38-'Raw TB'!D38)*Mapping!$F38,'Raw TB'!E38*Mapping!$F38)</x:f>
        <x:v>8.332999999999998</x:v>
      </x:c>
      <x:c r="J38" s="20" t="n">
        <x:f>IF($C38="P&amp;L",('Raw TB'!F38-'Raw TB'!E38)*Mapping!$F38,'Raw TB'!F38*Mapping!$F38)</x:f>
        <x:v>58.333</x:v>
      </x:c>
      <x:c r="K38" s="20" t="n">
        <x:f>IF($C38="P&amp;L",('Raw TB'!G38-'Raw TB'!F38)*Mapping!$F38,'Raw TB'!G38*Mapping!$F38)</x:f>
        <x:v>8.334000000000003</x:v>
      </x:c>
      <x:c r="L38" s="20" t="n">
        <x:f>IF($C38="P&amp;L",('Raw TB'!H38-'Raw TB'!G38)*Mapping!$F38,'Raw TB'!H38*Mapping!$F38)</x:f>
        <x:v>8.332999999999998</x:v>
      </x:c>
      <x:c r="M38" s="20" t="n">
        <x:f>IF($C38="P&amp;L",('Raw TB'!I38-'Raw TB'!H38)*Mapping!$F38,'Raw TB'!I38*Mapping!$F38)</x:f>
        <x:v>8.332999999999998</x:v>
      </x:c>
      <x:c r="N38" s="20" t="n">
        <x:f>IF($C38="P&amp;L",('Raw TB'!J38-'Raw TB'!I38)*Mapping!$F38,'Raw TB'!J38*Mapping!$F38)</x:f>
        <x:v>58.334</x:v>
      </x:c>
      <x:c r="O38" s="20" t="n">
        <x:f>IF($C38="P&amp;L",('Raw TB'!K38-'Raw TB'!J38)*Mapping!$F38,'Raw TB'!K38*Mapping!$F38)</x:f>
        <x:v>8.332999999999998</x:v>
      </x:c>
      <x:c r="P38" s="20" t="n">
        <x:f>IF($C38="P&amp;L",('Raw TB'!L38-'Raw TB'!K38)*Mapping!$F38,'Raw TB'!L38*Mapping!$F38)</x:f>
        <x:v>8.332999999999998</x:v>
      </x:c>
      <x:c r="Q38" s="20" t="n">
        <x:f>IF($C38="P&amp;L",('Raw TB'!M38-'Raw TB'!L38)*Mapping!$F38,'Raw TB'!M38*Mapping!$F38)</x:f>
        <x:v>58.334</x:v>
      </x:c>
      <x:c r="R38" s="20" t="n">
        <x:f>IF($C38="P&amp;L",('Raw TB'!N38-'Raw TB'!M38)*Mapping!$F38,'Raw TB'!N38*Mapping!$F38)</x:f>
        <x:v>8.332999999999998</x:v>
      </x:c>
    </x:row>
    <x:row r="39" ht="21" customHeight="1">
      <x:c r="A39" s="17" t="n">
        <x:f>Mapping!A39</x:f>
        <x:v>6240</x:v>
      </x:c>
      <x:c r="B39" s="16" t="str">
        <x:f>Mapping!B39</x:f>
        <x:v>Software &amp; Office</x:v>
      </x:c>
      <x:c r="C39" s="16" t="str">
        <x:f>Mapping!C39</x:f>
        <x:v>P&amp;L</x:v>
      </x:c>
      <x:c r="D39" s="16" t="str">
        <x:f>Mapping!D39</x:f>
        <x:v>Operating Expenses</x:v>
      </x:c>
      <x:c r="E39" s="19"/>
      <x:c r="F39" s="19"/>
      <x:c r="G39" s="20" t="n">
        <x:f>IF($C39="P&amp;L",('Raw TB'!C39-0)*Mapping!$F39,'Raw TB'!C39*Mapping!$F39)</x:f>
        <x:v>25</x:v>
      </x:c>
      <x:c r="H39" s="20" t="n">
        <x:f>IF($C39="P&amp;L",('Raw TB'!D39-'Raw TB'!C39)*Mapping!$F39,'Raw TB'!D39*Mapping!$F39)</x:f>
        <x:v>25</x:v>
      </x:c>
      <x:c r="I39" s="20" t="n">
        <x:f>IF($C39="P&amp;L",('Raw TB'!E39-'Raw TB'!D39)*Mapping!$F39,'Raw TB'!E39*Mapping!$F39)</x:f>
        <x:v>25</x:v>
      </x:c>
      <x:c r="J39" s="20" t="n">
        <x:f>IF($C39="P&amp;L",('Raw TB'!F39-'Raw TB'!E39)*Mapping!$F39,'Raw TB'!F39*Mapping!$F39)</x:f>
        <x:v>25</x:v>
      </x:c>
      <x:c r="K39" s="20" t="n">
        <x:f>IF($C39="P&amp;L",('Raw TB'!G39-'Raw TB'!F39)*Mapping!$F39,'Raw TB'!G39*Mapping!$F39)</x:f>
        <x:v>25</x:v>
      </x:c>
      <x:c r="L39" s="20" t="n">
        <x:f>IF($C39="P&amp;L",('Raw TB'!H39-'Raw TB'!G39)*Mapping!$F39,'Raw TB'!H39*Mapping!$F39)</x:f>
        <x:v>25</x:v>
      </x:c>
      <x:c r="M39" s="20" t="n">
        <x:f>IF($C39="P&amp;L",('Raw TB'!I39-'Raw TB'!H39)*Mapping!$F39,'Raw TB'!I39*Mapping!$F39)</x:f>
        <x:v>25</x:v>
      </x:c>
      <x:c r="N39" s="20" t="n">
        <x:f>IF($C39="P&amp;L",('Raw TB'!J39-'Raw TB'!I39)*Mapping!$F39,'Raw TB'!J39*Mapping!$F39)</x:f>
        <x:v>25</x:v>
      </x:c>
      <x:c r="O39" s="20" t="n">
        <x:f>IF($C39="P&amp;L",('Raw TB'!K39-'Raw TB'!J39)*Mapping!$F39,'Raw TB'!K39*Mapping!$F39)</x:f>
        <x:v>25</x:v>
      </x:c>
      <x:c r="P39" s="20" t="n">
        <x:f>IF($C39="P&amp;L",('Raw TB'!L39-'Raw TB'!K39)*Mapping!$F39,'Raw TB'!L39*Mapping!$F39)</x:f>
        <x:v>25</x:v>
      </x:c>
      <x:c r="Q39" s="20" t="n">
        <x:f>IF($C39="P&amp;L",('Raw TB'!M39-'Raw TB'!L39)*Mapping!$F39,'Raw TB'!M39*Mapping!$F39)</x:f>
        <x:v>25</x:v>
      </x:c>
      <x:c r="R39" s="20" t="n">
        <x:f>IF($C39="P&amp;L",('Raw TB'!N39-'Raw TB'!M39)*Mapping!$F39,'Raw TB'!N39*Mapping!$F39)</x:f>
        <x:v>25</x:v>
      </x:c>
    </x:row>
    <x:row r="40" ht="21" customHeight="1">
      <x:c r="A40" s="17" t="n">
        <x:f>Mapping!A40</x:f>
        <x:v>6250</x:v>
      </x:c>
      <x:c r="B40" s="16" t="str">
        <x:f>Mapping!B40</x:f>
        <x:v>Recruiting &amp; Training</x:v>
      </x:c>
      <x:c r="C40" s="16" t="str">
        <x:f>Mapping!C40</x:f>
        <x:v>P&amp;L</x:v>
      </x:c>
      <x:c r="D40" s="16" t="str">
        <x:f>Mapping!D40</x:f>
        <x:v>Operating Expenses</x:v>
      </x:c>
      <x:c r="E40" s="19"/>
      <x:c r="F40" s="19"/>
      <x:c r="G40" s="20" t="n">
        <x:f>IF($C40="P&amp;L",('Raw TB'!C40-0)*Mapping!$F40,'Raw TB'!C40*Mapping!$F40)</x:f>
        <x:v>18.333</x:v>
      </x:c>
      <x:c r="H40" s="20" t="n">
        <x:f>IF($C40="P&amp;L",('Raw TB'!D40-'Raw TB'!C40)*Mapping!$F40,'Raw TB'!D40*Mapping!$F40)</x:f>
        <x:v>18.334000000000003</x:v>
      </x:c>
      <x:c r="I40" s="20" t="n">
        <x:f>IF($C40="P&amp;L",('Raw TB'!E40-'Raw TB'!D40)*Mapping!$F40,'Raw TB'!E40*Mapping!$F40)</x:f>
        <x:v>18.333</x:v>
      </x:c>
      <x:c r="J40" s="20" t="n">
        <x:f>IF($C40="P&amp;L",('Raw TB'!F40-'Raw TB'!E40)*Mapping!$F40,'Raw TB'!F40*Mapping!$F40)</x:f>
        <x:v>18.333</x:v>
      </x:c>
      <x:c r="K40" s="20" t="n">
        <x:f>IF($C40="P&amp;L",('Raw TB'!G40-'Raw TB'!F40)*Mapping!$F40,'Raw TB'!G40*Mapping!$F40)</x:f>
        <x:v>18.334000000000003</x:v>
      </x:c>
      <x:c r="L40" s="20" t="n">
        <x:f>IF($C40="P&amp;L",('Raw TB'!H40-'Raw TB'!G40)*Mapping!$F40,'Raw TB'!H40*Mapping!$F40)</x:f>
        <x:v>18.333</x:v>
      </x:c>
      <x:c r="M40" s="20" t="n">
        <x:f>IF($C40="P&amp;L",('Raw TB'!I40-'Raw TB'!H40)*Mapping!$F40,'Raw TB'!I40*Mapping!$F40)</x:f>
        <x:v>18.333</x:v>
      </x:c>
      <x:c r="N40" s="20" t="n">
        <x:f>IF($C40="P&amp;L",('Raw TB'!J40-'Raw TB'!I40)*Mapping!$F40,'Raw TB'!J40*Mapping!$F40)</x:f>
        <x:v>18.334000000000003</x:v>
      </x:c>
      <x:c r="O40" s="20" t="n">
        <x:f>IF($C40="P&amp;L",('Raw TB'!K40-'Raw TB'!J40)*Mapping!$F40,'Raw TB'!K40*Mapping!$F40)</x:f>
        <x:v>18.333</x:v>
      </x:c>
      <x:c r="P40" s="20" t="n">
        <x:f>IF($C40="P&amp;L",('Raw TB'!L40-'Raw TB'!K40)*Mapping!$F40,'Raw TB'!L40*Mapping!$F40)</x:f>
        <x:v>18.333</x:v>
      </x:c>
      <x:c r="Q40" s="20" t="n">
        <x:f>IF($C40="P&amp;L",('Raw TB'!M40-'Raw TB'!L40)*Mapping!$F40,'Raw TB'!M40*Mapping!$F40)</x:f>
        <x:v>18.334000000000003</x:v>
      </x:c>
      <x:c r="R40" s="20" t="n">
        <x:f>IF($C40="P&amp;L",('Raw TB'!N40-'Raw TB'!M40)*Mapping!$F40,'Raw TB'!N40*Mapping!$F40)</x:f>
        <x:v>18.333</x:v>
      </x:c>
    </x:row>
    <x:row r="41" ht="21" customHeight="1">
      <x:c r="A41" s="17" t="n">
        <x:f>Mapping!A41</x:f>
        <x:v>6260</x:v>
      </x:c>
      <x:c r="B41" s="16" t="str">
        <x:f>Mapping!B41</x:f>
        <x:v>Utilities &amp; Warehouse</x:v>
      </x:c>
      <x:c r="C41" s="16" t="str">
        <x:f>Mapping!C41</x:f>
        <x:v>P&amp;L</x:v>
      </x:c>
      <x:c r="D41" s="16" t="str">
        <x:f>Mapping!D41</x:f>
        <x:v>Operating Expenses</x:v>
      </x:c>
      <x:c r="E41" s="19"/>
      <x:c r="F41" s="19"/>
      <x:c r="G41" s="20" t="n">
        <x:f>IF($C41="P&amp;L",('Raw TB'!C41-0)*Mapping!$F41,'Raw TB'!C41*Mapping!$F41)</x:f>
        <x:v>19.167</x:v>
      </x:c>
      <x:c r="H41" s="20" t="n">
        <x:f>IF($C41="P&amp;L",('Raw TB'!D41-'Raw TB'!C41)*Mapping!$F41,'Raw TB'!D41*Mapping!$F41)</x:f>
        <x:v>19.165999999999997</x:v>
      </x:c>
      <x:c r="I41" s="20" t="n">
        <x:f>IF($C41="P&amp;L",('Raw TB'!E41-'Raw TB'!D41)*Mapping!$F41,'Raw TB'!E41*Mapping!$F41)</x:f>
        <x:v>19.167</x:v>
      </x:c>
      <x:c r="J41" s="20" t="n">
        <x:f>IF($C41="P&amp;L",('Raw TB'!F41-'Raw TB'!E41)*Mapping!$F41,'Raw TB'!F41*Mapping!$F41)</x:f>
        <x:v>19.167</x:v>
      </x:c>
      <x:c r="K41" s="20" t="n">
        <x:f>IF($C41="P&amp;L",('Raw TB'!G41-'Raw TB'!F41)*Mapping!$F41,'Raw TB'!G41*Mapping!$F41)</x:f>
        <x:v>19.165999999999997</x:v>
      </x:c>
      <x:c r="L41" s="20" t="n">
        <x:f>IF($C41="P&amp;L",('Raw TB'!H41-'Raw TB'!G41)*Mapping!$F41,'Raw TB'!H41*Mapping!$F41)</x:f>
        <x:v>19.167</x:v>
      </x:c>
      <x:c r="M41" s="20" t="n">
        <x:f>IF($C41="P&amp;L",('Raw TB'!I41-'Raw TB'!H41)*Mapping!$F41,'Raw TB'!I41*Mapping!$F41)</x:f>
        <x:v>19.167</x:v>
      </x:c>
      <x:c r="N41" s="20" t="n">
        <x:f>IF($C41="P&amp;L",('Raw TB'!J41-'Raw TB'!I41)*Mapping!$F41,'Raw TB'!J41*Mapping!$F41)</x:f>
        <x:v>19.165999999999997</x:v>
      </x:c>
      <x:c r="O41" s="20" t="n">
        <x:f>IF($C41="P&amp;L",('Raw TB'!K41-'Raw TB'!J41)*Mapping!$F41,'Raw TB'!K41*Mapping!$F41)</x:f>
        <x:v>19.167</x:v>
      </x:c>
      <x:c r="P41" s="20" t="n">
        <x:f>IF($C41="P&amp;L",('Raw TB'!L41-'Raw TB'!K41)*Mapping!$F41,'Raw TB'!L41*Mapping!$F41)</x:f>
        <x:v>19.167</x:v>
      </x:c>
      <x:c r="Q41" s="20" t="n">
        <x:f>IF($C41="P&amp;L",('Raw TB'!M41-'Raw TB'!L41)*Mapping!$F41,'Raw TB'!M41*Mapping!$F41)</x:f>
        <x:v>19.165999999999997</x:v>
      </x:c>
      <x:c r="R41" s="20" t="n">
        <x:f>IF($C41="P&amp;L",('Raw TB'!N41-'Raw TB'!M41)*Mapping!$F41,'Raw TB'!N41*Mapping!$F41)</x:f>
        <x:v>19.167</x:v>
      </x:c>
    </x:row>
    <x:row r="42" ht="21" customHeight="1">
      <x:c r="A42" s="17" t="n">
        <x:f>Mapping!A42</x:f>
        <x:v>6270</x:v>
      </x:c>
      <x:c r="B42" s="16" t="str">
        <x:f>Mapping!B42</x:f>
        <x:v>Other G&amp;A</x:v>
      </x:c>
      <x:c r="C42" s="16" t="str">
        <x:f>Mapping!C42</x:f>
        <x:v>P&amp;L</x:v>
      </x:c>
      <x:c r="D42" s="16" t="str">
        <x:f>Mapping!D42</x:f>
        <x:v>Operating Expenses</x:v>
      </x:c>
      <x:c r="E42" s="19"/>
      <x:c r="F42" s="19"/>
      <x:c r="G42" s="20" t="n">
        <x:f>IF($C42="P&amp;L",('Raw TB'!C42-0)*Mapping!$F42,'Raw TB'!C42*Mapping!$F42)</x:f>
        <x:v>59.583</x:v>
      </x:c>
      <x:c r="H42" s="20" t="n">
        <x:f>IF($C42="P&amp;L",('Raw TB'!D42-'Raw TB'!C42)*Mapping!$F42,'Raw TB'!D42*Mapping!$F42)</x:f>
        <x:v>59.583</x:v>
      </x:c>
      <x:c r="I42" s="20" t="n">
        <x:f>IF($C42="P&amp;L",('Raw TB'!E42-'Raw TB'!D42)*Mapping!$F42,'Raw TB'!E42*Mapping!$F42)</x:f>
        <x:v>59.583</x:v>
      </x:c>
      <x:c r="J42" s="20" t="n">
        <x:f>IF($C42="P&amp;L",('Raw TB'!F42-'Raw TB'!E42)*Mapping!$F42,'Raw TB'!F42*Mapping!$F42)</x:f>
        <x:v>59.583</x:v>
      </x:c>
      <x:c r="K42" s="20" t="n">
        <x:f>IF($C42="P&amp;L",('Raw TB'!G42-'Raw TB'!F42)*Mapping!$F42,'Raw TB'!G42*Mapping!$F42)</x:f>
        <x:v>59.58300000000003</x:v>
      </x:c>
      <x:c r="L42" s="20" t="n">
        <x:f>IF($C42="P&amp;L",('Raw TB'!H42-'Raw TB'!G42)*Mapping!$F42,'Raw TB'!H42*Mapping!$F42)</x:f>
        <x:v>59.58299999999997</x:v>
      </x:c>
      <x:c r="M42" s="20" t="n">
        <x:f>IF($C42="P&amp;L",('Raw TB'!I42-'Raw TB'!H42)*Mapping!$F42,'Raw TB'!I42*Mapping!$F42)</x:f>
        <x:v>59.58300000000003</x:v>
      </x:c>
      <x:c r="N42" s="20" t="n">
        <x:f>IF($C42="P&amp;L",('Raw TB'!J42-'Raw TB'!I42)*Mapping!$F42,'Raw TB'!J42*Mapping!$F42)</x:f>
        <x:v>59.58299999999997</x:v>
      </x:c>
      <x:c r="O42" s="20" t="n">
        <x:f>IF($C42="P&amp;L",('Raw TB'!K42-'Raw TB'!J42)*Mapping!$F42,'Raw TB'!K42*Mapping!$F42)</x:f>
        <x:v>59.58299999999997</x:v>
      </x:c>
      <x:c r="P42" s="20" t="n">
        <x:f>IF($C42="P&amp;L",('Raw TB'!L42-'Raw TB'!K42)*Mapping!$F42,'Raw TB'!L42*Mapping!$F42)</x:f>
        <x:v>59.583000000000084</x:v>
      </x:c>
      <x:c r="Q42" s="20" t="n">
        <x:f>IF($C42="P&amp;L",('Raw TB'!M42-'Raw TB'!L42)*Mapping!$F42,'Raw TB'!M42*Mapping!$F42)</x:f>
        <x:v>59.58299999999997</x:v>
      </x:c>
      <x:c r="R42" s="20" t="n">
        <x:f>IF($C42="P&amp;L",('Raw TB'!N42-'Raw TB'!M42)*Mapping!$F42,'Raw TB'!N42*Mapping!$F42)</x:f>
        <x:v>59.58699999999999</x:v>
      </x:c>
    </x:row>
    <x:row r="43" ht="21" customHeight="1">
      <x:c r="A43" s="17" t="n">
        <x:f>Mapping!A43</x:f>
        <x:v>7000</x:v>
      </x:c>
      <x:c r="B43" s="16" t="str">
        <x:f>Mapping!B43</x:f>
        <x:v>Depreciation &amp; Amortization</x:v>
      </x:c>
      <x:c r="C43" s="16" t="str">
        <x:f>Mapping!C43</x:f>
        <x:v>P&amp;L</x:v>
      </x:c>
      <x:c r="D43" s="16" t="str">
        <x:f>Mapping!D43</x:f>
        <x:v>Below EBITDA</x:v>
      </x:c>
      <x:c r="E43" s="19"/>
      <x:c r="F43" s="19"/>
      <x:c r="G43" s="20" t="n">
        <x:f>IF($C43="P&amp;L",('Raw TB'!C43-0)*Mapping!$F43,'Raw TB'!C43*Mapping!$F43)</x:f>
        <x:v>25</x:v>
      </x:c>
      <x:c r="H43" s="20" t="n">
        <x:f>IF($C43="P&amp;L",('Raw TB'!D43-'Raw TB'!C43)*Mapping!$F43,'Raw TB'!D43*Mapping!$F43)</x:f>
        <x:v>25</x:v>
      </x:c>
      <x:c r="I43" s="20" t="n">
        <x:f>IF($C43="P&amp;L",('Raw TB'!E43-'Raw TB'!D43)*Mapping!$F43,'Raw TB'!E43*Mapping!$F43)</x:f>
        <x:v>25</x:v>
      </x:c>
      <x:c r="J43" s="20" t="n">
        <x:f>IF($C43="P&amp;L",('Raw TB'!F43-'Raw TB'!E43)*Mapping!$F43,'Raw TB'!F43*Mapping!$F43)</x:f>
        <x:v>25</x:v>
      </x:c>
      <x:c r="K43" s="20" t="n">
        <x:f>IF($C43="P&amp;L",('Raw TB'!G43-'Raw TB'!F43)*Mapping!$F43,'Raw TB'!G43*Mapping!$F43)</x:f>
        <x:v>25</x:v>
      </x:c>
      <x:c r="L43" s="20" t="n">
        <x:f>IF($C43="P&amp;L",('Raw TB'!H43-'Raw TB'!G43)*Mapping!$F43,'Raw TB'!H43*Mapping!$F43)</x:f>
        <x:v>25</x:v>
      </x:c>
      <x:c r="M43" s="20" t="n">
        <x:f>IF($C43="P&amp;L",('Raw TB'!I43-'Raw TB'!H43)*Mapping!$F43,'Raw TB'!I43*Mapping!$F43)</x:f>
        <x:v>25</x:v>
      </x:c>
      <x:c r="N43" s="20" t="n">
        <x:f>IF($C43="P&amp;L",('Raw TB'!J43-'Raw TB'!I43)*Mapping!$F43,'Raw TB'!J43*Mapping!$F43)</x:f>
        <x:v>25</x:v>
      </x:c>
      <x:c r="O43" s="20" t="n">
        <x:f>IF($C43="P&amp;L",('Raw TB'!K43-'Raw TB'!J43)*Mapping!$F43,'Raw TB'!K43*Mapping!$F43)</x:f>
        <x:v>25</x:v>
      </x:c>
      <x:c r="P43" s="20" t="n">
        <x:f>IF($C43="P&amp;L",('Raw TB'!L43-'Raw TB'!K43)*Mapping!$F43,'Raw TB'!L43*Mapping!$F43)</x:f>
        <x:v>25</x:v>
      </x:c>
      <x:c r="Q43" s="20" t="n">
        <x:f>IF($C43="P&amp;L",('Raw TB'!M43-'Raw TB'!L43)*Mapping!$F43,'Raw TB'!M43*Mapping!$F43)</x:f>
        <x:v>25</x:v>
      </x:c>
      <x:c r="R43" s="20" t="n">
        <x:f>IF($C43="P&amp;L",('Raw TB'!N43-'Raw TB'!M43)*Mapping!$F43,'Raw TB'!N43*Mapping!$F43)</x:f>
        <x:v>25</x:v>
      </x:c>
    </x:row>
    <x:row r="44" ht="21" customHeight="1">
      <x:c r="A44" s="17" t="n">
        <x:f>Mapping!A44</x:f>
        <x:v>7100</x:v>
      </x:c>
      <x:c r="B44" s="16" t="str">
        <x:f>Mapping!B44</x:f>
        <x:v>Interest Expense</x:v>
      </x:c>
      <x:c r="C44" s="16" t="str">
        <x:f>Mapping!C44</x:f>
        <x:v>P&amp;L</x:v>
      </x:c>
      <x:c r="D44" s="16" t="str">
        <x:f>Mapping!D44</x:f>
        <x:v>Below EBITDA</x:v>
      </x:c>
      <x:c r="E44" s="19"/>
      <x:c r="F44" s="19"/>
      <x:c r="G44" s="20" t="n">
        <x:f>IF($C44="P&amp;L",('Raw TB'!C44-0)*Mapping!$F44,'Raw TB'!C44*Mapping!$F44)</x:f>
        <x:v>8.333</x:v>
      </x:c>
      <x:c r="H44" s="20" t="n">
        <x:f>IF($C44="P&amp;L",('Raw TB'!D44-'Raw TB'!C44)*Mapping!$F44,'Raw TB'!D44*Mapping!$F44)</x:f>
        <x:v>8.334000000000001</x:v>
      </x:c>
      <x:c r="I44" s="20" t="n">
        <x:f>IF($C44="P&amp;L",('Raw TB'!E44-'Raw TB'!D44)*Mapping!$F44,'Raw TB'!E44*Mapping!$F44)</x:f>
        <x:v>8.332999999999998</x:v>
      </x:c>
      <x:c r="J44" s="20" t="n">
        <x:f>IF($C44="P&amp;L",('Raw TB'!F44-'Raw TB'!E44)*Mapping!$F44,'Raw TB'!F44*Mapping!$F44)</x:f>
        <x:v>8.332999999999998</x:v>
      </x:c>
      <x:c r="K44" s="20" t="n">
        <x:f>IF($C44="P&amp;L",('Raw TB'!G44-'Raw TB'!F44)*Mapping!$F44,'Raw TB'!G44*Mapping!$F44)</x:f>
        <x:v>8.334000000000003</x:v>
      </x:c>
      <x:c r="L44" s="20" t="n">
        <x:f>IF($C44="P&amp;L",('Raw TB'!H44-'Raw TB'!G44)*Mapping!$F44,'Raw TB'!H44*Mapping!$F44)</x:f>
        <x:v>8.332999999999998</x:v>
      </x:c>
      <x:c r="M44" s="20" t="n">
        <x:f>IF($C44="P&amp;L",('Raw TB'!I44-'Raw TB'!H44)*Mapping!$F44,'Raw TB'!I44*Mapping!$F44)</x:f>
        <x:v>8.332999999999998</x:v>
      </x:c>
      <x:c r="N44" s="20" t="n">
        <x:f>IF($C44="P&amp;L",('Raw TB'!J44-'Raw TB'!I44)*Mapping!$F44,'Raw TB'!J44*Mapping!$F44)</x:f>
        <x:v>8.334000000000003</x:v>
      </x:c>
      <x:c r="O44" s="20" t="n">
        <x:f>IF($C44="P&amp;L",('Raw TB'!K44-'Raw TB'!J44)*Mapping!$F44,'Raw TB'!K44*Mapping!$F44)</x:f>
        <x:v>8.332999999999998</x:v>
      </x:c>
      <x:c r="P44" s="20" t="n">
        <x:f>IF($C44="P&amp;L",('Raw TB'!L44-'Raw TB'!K44)*Mapping!$F44,'Raw TB'!L44*Mapping!$F44)</x:f>
        <x:v>8.332999999999998</x:v>
      </x:c>
      <x:c r="Q44" s="20" t="n">
        <x:f>IF($C44="P&amp;L",('Raw TB'!M44-'Raw TB'!L44)*Mapping!$F44,'Raw TB'!M44*Mapping!$F44)</x:f>
        <x:v>8.334000000000003</x:v>
      </x:c>
      <x:c r="R44" s="20" t="n">
        <x:f>IF($C44="P&amp;L",('Raw TB'!N44-'Raw TB'!M44)*Mapping!$F44,'Raw TB'!N44*Mapping!$F44)</x:f>
        <x:v>8.332999999999998</x:v>
      </x:c>
    </x:row>
    <x:row r="45" ht="21" customHeight="1">
      <x:c r="A45" s="17" t="n">
        <x:f>Mapping!A45</x:f>
        <x:v>7200</x:v>
      </x:c>
      <x:c r="B45" s="16" t="str">
        <x:f>Mapping!B45</x:f>
        <x:v>Income Tax Expense</x:v>
      </x:c>
      <x:c r="C45" s="16" t="str">
        <x:f>Mapping!C45</x:f>
        <x:v>P&amp;L</x:v>
      </x:c>
      <x:c r="D45" s="16" t="str">
        <x:f>Mapping!D45</x:f>
        <x:v>Below EBITDA</x:v>
      </x:c>
      <x:c r="E45" s="19"/>
      <x:c r="F45" s="19"/>
      <x:c r="G45" s="20" t="n">
        <x:f>IF($C45="P&amp;L",('Raw TB'!C45-0)*Mapping!$F45,'Raw TB'!C45*Mapping!$F45)</x:f>
        <x:v>29.167</x:v>
      </x:c>
      <x:c r="H45" s="20" t="n">
        <x:f>IF($C45="P&amp;L",('Raw TB'!D45-'Raw TB'!C45)*Mapping!$F45,'Raw TB'!D45*Mapping!$F45)</x:f>
        <x:v>29.165999999999997</x:v>
      </x:c>
      <x:c r="I45" s="20" t="n">
        <x:f>IF($C45="P&amp;L",('Raw TB'!E45-'Raw TB'!D45)*Mapping!$F45,'Raw TB'!E45*Mapping!$F45)</x:f>
        <x:v>29.167</x:v>
      </x:c>
      <x:c r="J45" s="20" t="n">
        <x:f>IF($C45="P&amp;L",('Raw TB'!F45-'Raw TB'!E45)*Mapping!$F45,'Raw TB'!F45*Mapping!$F45)</x:f>
        <x:v>29.167</x:v>
      </x:c>
      <x:c r="K45" s="20" t="n">
        <x:f>IF($C45="P&amp;L",('Raw TB'!G45-'Raw TB'!F45)*Mapping!$F45,'Raw TB'!G45*Mapping!$F45)</x:f>
        <x:v>29.165999999999997</x:v>
      </x:c>
      <x:c r="L45" s="20" t="n">
        <x:f>IF($C45="P&amp;L",('Raw TB'!H45-'Raw TB'!G45)*Mapping!$F45,'Raw TB'!H45*Mapping!$F45)</x:f>
        <x:v>29.167</x:v>
      </x:c>
      <x:c r="M45" s="20" t="n">
        <x:f>IF($C45="P&amp;L",('Raw TB'!I45-'Raw TB'!H45)*Mapping!$F45,'Raw TB'!I45*Mapping!$F45)</x:f>
        <x:v>29.167</x:v>
      </x:c>
      <x:c r="N45" s="20" t="n">
        <x:f>IF($C45="P&amp;L",('Raw TB'!J45-'Raw TB'!I45)*Mapping!$F45,'Raw TB'!J45*Mapping!$F45)</x:f>
        <x:v>29.165999999999997</x:v>
      </x:c>
      <x:c r="O45" s="20" t="n">
        <x:f>IF($C45="P&amp;L",('Raw TB'!K45-'Raw TB'!J45)*Mapping!$F45,'Raw TB'!K45*Mapping!$F45)</x:f>
        <x:v>29.167</x:v>
      </x:c>
      <x:c r="P45" s="20" t="n">
        <x:f>IF($C45="P&amp;L",('Raw TB'!L45-'Raw TB'!K45)*Mapping!$F45,'Raw TB'!L45*Mapping!$F45)</x:f>
        <x:v>29.166999999999973</x:v>
      </x:c>
      <x:c r="Q45" s="20" t="n">
        <x:f>IF($C45="P&amp;L",('Raw TB'!M45-'Raw TB'!L45)*Mapping!$F45,'Raw TB'!M45*Mapping!$F45)</x:f>
        <x:v>29.166000000000054</x:v>
      </x:c>
      <x:c r="R45" s="20" t="n">
        <x:f>IF($C45="P&amp;L",('Raw TB'!N45-'Raw TB'!M45)*Mapping!$F45,'Raw TB'!N45*Mapping!$F45)</x:f>
        <x:v>29.166999999999973</x:v>
      </x:c>
    </x:row>
    <x:row r="46" ht="21" customHeight="1">
      <x:c r="A46" s="2"/>
      <x:c r="B46" s="2"/>
      <x:c r="C46" s="2"/>
      <x:c r="D46" s="2"/>
      <x:c r="E46" s="19"/>
      <x:c r="F46" s="19"/>
      <x:c r="G46" s="2"/>
      <x:c r="H46" s="2"/>
      <x:c r="I46" s="2"/>
      <x:c r="J46" s="2"/>
      <x:c r="K46" s="2"/>
      <x:c r="L46" s="2"/>
      <x:c r="M46" s="2"/>
      <x:c r="N46" s="2"/>
      <x:c r="O46" s="2"/>
      <x:c r="P46" s="2"/>
      <x:c r="Q46" s="2"/>
      <x:c r="R46" s="2"/>
    </x:row>
    <x:row r="47" ht="21" customHeight="1">
      <x:c r="A47" s="2"/>
      <x:c r="B47" s="2"/>
      <x:c r="C47" s="2"/>
      <x:c r="D47" s="2"/>
      <x:c r="E47" s="19"/>
      <x:c r="F47" s="19"/>
      <x:c r="G47" s="2"/>
      <x:c r="H47" s="2"/>
      <x:c r="I47" s="2"/>
      <x:c r="J47" s="2"/>
      <x:c r="K47" s="2"/>
      <x:c r="L47" s="2"/>
      <x:c r="M47" s="2"/>
      <x:c r="N47" s="2"/>
      <x:c r="O47" s="2"/>
      <x:c r="P47" s="2"/>
      <x:c r="Q47" s="2"/>
      <x:c r="R47" s="2"/>
    </x:row>
    <x:row r="48" ht="21" customHeight="1">
      <x:c r="A48" s="2" t="str">
        <x:v>Example: February P&amp;L activity = February YTD less January YTD, then apply the mapping sign.</x:v>
      </x:c>
      <x:c r="B48" s="2"/>
      <x:c r="C48" s="2"/>
      <x:c r="D48" s="2"/>
      <x:c r="E48" s="19"/>
      <x:c r="F48" s="19"/>
      <x:c r="G48" s="2"/>
      <x:c r="H48" s="2"/>
      <x:c r="I48" s="2"/>
      <x:c r="J48" s="2"/>
      <x:c r="K48" s="2"/>
      <x:c r="L48" s="2"/>
      <x:c r="M48" s="2"/>
      <x:c r="N48" s="2"/>
      <x:c r="O48" s="2"/>
      <x:c r="P48" s="2"/>
      <x:c r="Q48" s="2"/>
      <x:c r="R48" s="2"/>
    </x:row>
    <x:row r="49" ht="21" customHeight="1">
      <x:c r="A49" s="2"/>
      <x:c r="B49" s="2"/>
      <x:c r="C49" s="2"/>
      <x:c r="D49" s="2"/>
      <x:c r="E49" s="19"/>
      <x:c r="F49" s="19"/>
      <x:c r="G49" s="2"/>
      <x:c r="H49" s="2"/>
      <x:c r="I49" s="2"/>
      <x:c r="J49" s="2"/>
      <x:c r="K49" s="2"/>
      <x:c r="L49" s="2"/>
      <x:c r="M49" s="2"/>
      <x:c r="N49" s="2"/>
      <x:c r="O49" s="2"/>
      <x:c r="P49" s="2"/>
      <x:c r="Q49" s="2"/>
      <x:c r="R49" s="2"/>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9" customHeight="1">
      <x:c r="A1" s="2"/>
      <x:c r="B1" s="2"/>
      <x:c r="C1" s="2"/>
      <x:c r="D1" s="2"/>
      <x:c r="E1" s="2"/>
      <x:c r="F1" s="2"/>
      <x:c r="G1" s="2"/>
      <x:c r="H1" s="2"/>
      <x:c r="I1" s="2"/>
      <x:c r="J1" s="2"/>
      <x:c r="K1" s="2"/>
      <x:c r="L1" s="2"/>
      <x:c r="M1" s="2"/>
      <x:c r="N1" s="2"/>
    </x:row>
    <x:row r="2" ht="21" customHeight="1">
      <x:c r="A2" s="3" t="str">
        <x:v>Harmony raw trial balance</x:v>
      </x:c>
      <x:c r="B2" s="2"/>
      <x:c r="C2" s="2"/>
      <x:c r="D2" s="2"/>
      <x:c r="E2" s="2"/>
      <x:c r="F2" s="2"/>
      <x:c r="G2" s="2"/>
      <x:c r="H2" s="2"/>
      <x:c r="I2" s="2"/>
      <x:c r="J2" s="2"/>
      <x:c r="K2" s="2"/>
      <x:c r="L2" s="2"/>
      <x:c r="M2" s="2"/>
      <x:c r="N2" s="2"/>
    </x:row>
    <x:row r="3" ht="21" customHeight="1">
      <x:c r="A3" s="4" t="str">
        <x:v>Break Into FDD | FY2025 | $000 | Synthetic case | Debit positive / credit negative</x:v>
      </x:c>
      <x:c r="B3" s="2"/>
      <x:c r="C3" s="2"/>
      <x:c r="D3" s="2"/>
      <x:c r="E3" s="2"/>
      <x:c r="F3" s="2"/>
      <x:c r="G3" s="2"/>
      <x:c r="H3" s="2"/>
      <x:c r="I3" s="2"/>
      <x:c r="J3" s="2"/>
      <x:c r="K3" s="2"/>
      <x:c r="L3" s="2"/>
      <x:c r="M3" s="2"/>
      <x:c r="N3" s="2"/>
    </x:row>
    <x:row r="4" ht="21" customHeight="1">
      <x:c r="A4" s="2"/>
      <x:c r="B4" s="2"/>
      <x:c r="C4" s="2"/>
      <x:c r="D4" s="2"/>
      <x:c r="E4" s="2"/>
      <x:c r="F4" s="2"/>
      <x:c r="G4" s="2"/>
      <x:c r="H4" s="2"/>
      <x:c r="I4" s="2"/>
      <x:c r="J4" s="2"/>
      <x:c r="K4" s="2"/>
      <x:c r="L4" s="2"/>
      <x:c r="M4" s="2"/>
      <x:c r="N4" s="2"/>
    </x:row>
    <x:row r="5" ht="27" customHeight="1">
      <x:c r="A5" s="7" t="str">
        <x:v>Account</x:v>
      </x:c>
      <x:c r="B5" s="7" t="str">
        <x:v>Account name</x:v>
      </x:c>
      <x:c r="C5" s="8" t="n">
        <x:v>45658</x:v>
      </x:c>
      <x:c r="D5" s="8" t="n">
        <x:v>45689</x:v>
      </x:c>
      <x:c r="E5" s="8" t="n">
        <x:v>45717</x:v>
      </x:c>
      <x:c r="F5" s="8" t="n">
        <x:v>45748</x:v>
      </x:c>
      <x:c r="G5" s="8" t="n">
        <x:v>45778</x:v>
      </x:c>
      <x:c r="H5" s="8" t="n">
        <x:v>45809</x:v>
      </x:c>
      <x:c r="I5" s="8" t="n">
        <x:v>45839</x:v>
      </x:c>
      <x:c r="J5" s="8" t="n">
        <x:v>45870</x:v>
      </x:c>
      <x:c r="K5" s="8" t="n">
        <x:v>45901</x:v>
      </x:c>
      <x:c r="L5" s="8" t="n">
        <x:v>45931</x:v>
      </x:c>
      <x:c r="M5" s="8" t="n">
        <x:v>45962</x:v>
      </x:c>
      <x:c r="N5" s="8" t="n">
        <x:v>45992</x:v>
      </x:c>
    </x:row>
    <x:row r="6" ht="21" customHeight="1">
      <x:c r="A6" s="9" t="n">
        <x:v>1000</x:v>
      </x:c>
      <x:c r="B6" s="2" t="str">
        <x:v>Cash</x:v>
      </x:c>
      <x:c r="C6" s="10" t="n">
        <x:v>2070</x:v>
      </x:c>
      <x:c r="D6" s="10" t="n">
        <x:v>2029.636</x:v>
      </x:c>
      <x:c r="E6" s="10" t="n">
        <x:v>1970.273</x:v>
      </x:c>
      <x:c r="F6" s="10" t="n">
        <x:v>1869.909</x:v>
      </x:c>
      <x:c r="G6" s="10" t="n">
        <x:v>1900.545</x:v>
      </x:c>
      <x:c r="H6" s="10" t="n">
        <x:v>1960.182</x:v>
      </x:c>
      <x:c r="I6" s="10" t="n">
        <x:v>2176.818</x:v>
      </x:c>
      <x:c r="J6" s="10" t="n">
        <x:v>2315.455</x:v>
      </x:c>
      <x:c r="K6" s="10" t="n">
        <x:v>2488.091</x:v>
      </x:c>
      <x:c r="L6" s="10" t="n">
        <x:v>2552.727</x:v>
      </x:c>
      <x:c r="M6" s="10" t="n">
        <x:v>2512.364</x:v>
      </x:c>
      <x:c r="N6" s="10" t="n">
        <x:v>2755</x:v>
      </x:c>
    </x:row>
    <x:row r="7" ht="21" customHeight="1">
      <x:c r="A7" s="9" t="n">
        <x:v>1100</x:v>
      </x:c>
      <x:c r="B7" s="2" t="str">
        <x:v>Accounts Receivable</x:v>
      </x:c>
      <x:c r="C7" s="10" t="n">
        <x:v>1740</x:v>
      </x:c>
      <x:c r="D7" s="10" t="n">
        <x:v>1812.5</x:v>
      </x:c>
      <x:c r="E7" s="10" t="n">
        <x:v>1957.5</x:v>
      </x:c>
      <x:c r="F7" s="10" t="n">
        <x:v>2102.5</x:v>
      </x:c>
      <x:c r="G7" s="10" t="n">
        <x:v>2247.5</x:v>
      </x:c>
      <x:c r="H7" s="10" t="n">
        <x:v>2392.5</x:v>
      </x:c>
      <x:c r="I7" s="10" t="n">
        <x:v>2320</x:v>
      </x:c>
      <x:c r="J7" s="10" t="n">
        <x:v>2247.5</x:v>
      </x:c>
      <x:c r="K7" s="10" t="n">
        <x:v>2175</x:v>
      </x:c>
      <x:c r="L7" s="10" t="n">
        <x:v>2247.5</x:v>
      </x:c>
      <x:c r="M7" s="10" t="n">
        <x:v>2465</x:v>
      </x:c>
      <x:c r="N7" s="10" t="n">
        <x:v>2392.5</x:v>
      </x:c>
    </x:row>
    <x:row r="8" ht="21" customHeight="1">
      <x:c r="A8" s="9" t="n">
        <x:v>1150</x:v>
      </x:c>
      <x:c r="B8" s="2" t="str">
        <x:v>Other Receivables</x:v>
      </x:c>
      <x:c r="C8" s="10" t="n">
        <x:v>45</x:v>
      </x:c>
      <x:c r="D8" s="10" t="n">
        <x:v>48</x:v>
      </x:c>
      <x:c r="E8" s="10" t="n">
        <x:v>50</x:v>
      </x:c>
      <x:c r="F8" s="10" t="n">
        <x:v>52</x:v>
      </x:c>
      <x:c r="G8" s="10" t="n">
        <x:v>49</x:v>
      </x:c>
      <x:c r="H8" s="10" t="n">
        <x:v>51</x:v>
      </x:c>
      <x:c r="I8" s="10" t="n">
        <x:v>54</x:v>
      </x:c>
      <x:c r="J8" s="10" t="n">
        <x:v>53</x:v>
      </x:c>
      <x:c r="K8" s="10" t="n">
        <x:v>55</x:v>
      </x:c>
      <x:c r="L8" s="10" t="n">
        <x:v>58</x:v>
      </x:c>
      <x:c r="M8" s="10" t="n">
        <x:v>60</x:v>
      </x:c>
      <x:c r="N8" s="10" t="n">
        <x:v>62</x:v>
      </x:c>
    </x:row>
    <x:row r="9" ht="21" customHeight="1">
      <x:c r="A9" s="9" t="n">
        <x:v>1200</x:v>
      </x:c>
      <x:c r="B9" s="2" t="str">
        <x:v>Prepaid Expenses</x:v>
      </x:c>
      <x:c r="C9" s="10" t="n">
        <x:v>110</x:v>
      </x:c>
      <x:c r="D9" s="10" t="n">
        <x:v>105</x:v>
      </x:c>
      <x:c r="E9" s="10" t="n">
        <x:v>100</x:v>
      </x:c>
      <x:c r="F9" s="10" t="n">
        <x:v>125</x:v>
      </x:c>
      <x:c r="G9" s="10" t="n">
        <x:v>118</x:v>
      </x:c>
      <x:c r="H9" s="10" t="n">
        <x:v>112</x:v>
      </x:c>
      <x:c r="I9" s="10" t="n">
        <x:v>108</x:v>
      </x:c>
      <x:c r="J9" s="10" t="n">
        <x:v>115</x:v>
      </x:c>
      <x:c r="K9" s="10" t="n">
        <x:v>120</x:v>
      </x:c>
      <x:c r="L9" s="10" t="n">
        <x:v>126</x:v>
      </x:c>
      <x:c r="M9" s="10" t="n">
        <x:v>132</x:v>
      </x:c>
      <x:c r="N9" s="10" t="n">
        <x:v>140</x:v>
      </x:c>
    </x:row>
    <x:row r="10" ht="21" customHeight="1">
      <x:c r="A10" s="9" t="n">
        <x:v>1300</x:v>
      </x:c>
      <x:c r="B10" s="2" t="str">
        <x:v>Supplies Inventory</x:v>
      </x:c>
      <x:c r="C10" s="10" t="n">
        <x:v>75</x:v>
      </x:c>
      <x:c r="D10" s="10" t="n">
        <x:v>78</x:v>
      </x:c>
      <x:c r="E10" s="10" t="n">
        <x:v>82</x:v>
      </x:c>
      <x:c r="F10" s="10" t="n">
        <x:v>84</x:v>
      </x:c>
      <x:c r="G10" s="10" t="n">
        <x:v>87</x:v>
      </x:c>
      <x:c r="H10" s="10" t="n">
        <x:v>90</x:v>
      </x:c>
      <x:c r="I10" s="10" t="n">
        <x:v>92</x:v>
      </x:c>
      <x:c r="J10" s="10" t="n">
        <x:v>90</x:v>
      </x:c>
      <x:c r="K10" s="10" t="n">
        <x:v>88</x:v>
      </x:c>
      <x:c r="L10" s="10" t="n">
        <x:v>91</x:v>
      </x:c>
      <x:c r="M10" s="10" t="n">
        <x:v>95</x:v>
      </x:c>
      <x:c r="N10" s="10" t="n">
        <x:v>98</x:v>
      </x:c>
    </x:row>
    <x:row r="11" ht="21" customHeight="1">
      <x:c r="A11" s="9" t="n">
        <x:v>1500</x:v>
      </x:c>
      <x:c r="B11" s="2" t="str">
        <x:v>Property &amp; Equipment</x:v>
      </x:c>
      <x:c r="C11" s="10" t="n">
        <x:v>2825</x:v>
      </x:c>
      <x:c r="D11" s="10" t="n">
        <x:v>2850</x:v>
      </x:c>
      <x:c r="E11" s="10" t="n">
        <x:v>2875</x:v>
      </x:c>
      <x:c r="F11" s="10" t="n">
        <x:v>2900</x:v>
      </x:c>
      <x:c r="G11" s="10" t="n">
        <x:v>2925</x:v>
      </x:c>
      <x:c r="H11" s="10" t="n">
        <x:v>2950</x:v>
      </x:c>
      <x:c r="I11" s="10" t="n">
        <x:v>2975</x:v>
      </x:c>
      <x:c r="J11" s="10" t="n">
        <x:v>3000</x:v>
      </x:c>
      <x:c r="K11" s="10" t="n">
        <x:v>3025</x:v>
      </x:c>
      <x:c r="L11" s="10" t="n">
        <x:v>3050</x:v>
      </x:c>
      <x:c r="M11" s="10" t="n">
        <x:v>3075</x:v>
      </x:c>
      <x:c r="N11" s="10" t="n">
        <x:v>3100</x:v>
      </x:c>
    </x:row>
    <x:row r="12" ht="21" customHeight="1">
      <x:c r="A12" s="9" t="n">
        <x:v>1510</x:v>
      </x:c>
      <x:c r="B12" s="2" t="str">
        <x:v>Accumulated Depreciation</x:v>
      </x:c>
      <x:c r="C12" s="10" t="n">
        <x:v>-1025</x:v>
      </x:c>
      <x:c r="D12" s="10" t="n">
        <x:v>-1050</x:v>
      </x:c>
      <x:c r="E12" s="10" t="n">
        <x:v>-1075</x:v>
      </x:c>
      <x:c r="F12" s="10" t="n">
        <x:v>-1100</x:v>
      </x:c>
      <x:c r="G12" s="10" t="n">
        <x:v>-1125</x:v>
      </x:c>
      <x:c r="H12" s="10" t="n">
        <x:v>-1150</x:v>
      </x:c>
      <x:c r="I12" s="10" t="n">
        <x:v>-1175</x:v>
      </x:c>
      <x:c r="J12" s="10" t="n">
        <x:v>-1200</x:v>
      </x:c>
      <x:c r="K12" s="10" t="n">
        <x:v>-1225</x:v>
      </x:c>
      <x:c r="L12" s="10" t="n">
        <x:v>-1250</x:v>
      </x:c>
      <x:c r="M12" s="10" t="n">
        <x:v>-1275</x:v>
      </x:c>
      <x:c r="N12" s="10" t="n">
        <x:v>-1300</x:v>
      </x:c>
    </x:row>
    <x:row r="13" ht="21" customHeight="1">
      <x:c r="A13" s="9" t="n">
        <x:v>2000</x:v>
      </x:c>
      <x:c r="B13" s="2" t="str">
        <x:v>Accounts Payable</x:v>
      </x:c>
      <x:c r="C13" s="10" t="n">
        <x:v>-578</x:v>
      </x:c>
      <x:c r="D13" s="10" t="n">
        <x:v>-582.5</x:v>
      </x:c>
      <x:c r="E13" s="10" t="n">
        <x:v>-591.5</x:v>
      </x:c>
      <x:c r="F13" s="10" t="n">
        <x:v>-600.5</x:v>
      </x:c>
      <x:c r="G13" s="10" t="n">
        <x:v>-609.5</x:v>
      </x:c>
      <x:c r="H13" s="10" t="n">
        <x:v>-618.5</x:v>
      </x:c>
      <x:c r="I13" s="10" t="n">
        <x:v>-614</x:v>
      </x:c>
      <x:c r="J13" s="10" t="n">
        <x:v>-609.5</x:v>
      </x:c>
      <x:c r="K13" s="10" t="n">
        <x:v>-605</x:v>
      </x:c>
      <x:c r="L13" s="10" t="n">
        <x:v>-609.5</x:v>
      </x:c>
      <x:c r="M13" s="10" t="n">
        <x:v>-623</x:v>
      </x:c>
      <x:c r="N13" s="10" t="n">
        <x:v>-618.5</x:v>
      </x:c>
    </x:row>
    <x:row r="14" ht="21" customHeight="1">
      <x:c r="A14" s="9" t="n">
        <x:v>2100</x:v>
      </x:c>
      <x:c r="B14" s="2" t="str">
        <x:v>Accrued Payroll</x:v>
      </x:c>
      <x:c r="C14" s="10" t="n">
        <x:v>-492</x:v>
      </x:c>
      <x:c r="D14" s="10" t="n">
        <x:v>-495</x:v>
      </x:c>
      <x:c r="E14" s="10" t="n">
        <x:v>-501</x:v>
      </x:c>
      <x:c r="F14" s="10" t="n">
        <x:v>-507</x:v>
      </x:c>
      <x:c r="G14" s="10" t="n">
        <x:v>-513</x:v>
      </x:c>
      <x:c r="H14" s="10" t="n">
        <x:v>-519</x:v>
      </x:c>
      <x:c r="I14" s="10" t="n">
        <x:v>-516</x:v>
      </x:c>
      <x:c r="J14" s="10" t="n">
        <x:v>-513</x:v>
      </x:c>
      <x:c r="K14" s="10" t="n">
        <x:v>-510</x:v>
      </x:c>
      <x:c r="L14" s="10" t="n">
        <x:v>-513</x:v>
      </x:c>
      <x:c r="M14" s="10" t="n">
        <x:v>-522</x:v>
      </x:c>
      <x:c r="N14" s="10" t="n">
        <x:v>-519</x:v>
      </x:c>
    </x:row>
    <x:row r="15" ht="21" customHeight="1">
      <x:c r="A15" s="9" t="n">
        <x:v>2110</x:v>
      </x:c>
      <x:c r="B15" s="2" t="str">
        <x:v>Accrued Bonuses</x:v>
      </x:c>
      <x:c r="C15" s="10" t="n">
        <x:v>-30</x:v>
      </x:c>
      <x:c r="D15" s="10" t="n">
        <x:v>-30</x:v>
      </x:c>
      <x:c r="E15" s="10" t="n">
        <x:v>-35</x:v>
      </x:c>
      <x:c r="F15" s="10" t="n">
        <x:v>-35</x:v>
      </x:c>
      <x:c r="G15" s="10" t="n">
        <x:v>-40</x:v>
      </x:c>
      <x:c r="H15" s="10" t="n">
        <x:v>-40</x:v>
      </x:c>
      <x:c r="I15" s="10" t="n">
        <x:v>-45</x:v>
      </x:c>
      <x:c r="J15" s="10" t="n">
        <x:v>-45</x:v>
      </x:c>
      <x:c r="K15" s="10" t="n">
        <x:v>-50</x:v>
      </x:c>
      <x:c r="L15" s="10" t="n">
        <x:v>-50</x:v>
      </x:c>
      <x:c r="M15" s="10" t="n">
        <x:v>-55</x:v>
      </x:c>
      <x:c r="N15" s="10" t="n">
        <x:v>-60</x:v>
      </x:c>
    </x:row>
    <x:row r="16" ht="21" customHeight="1">
      <x:c r="A16" s="9" t="n">
        <x:v>2200</x:v>
      </x:c>
      <x:c r="B16" s="2" t="str">
        <x:v>Payroll Taxes Payable</x:v>
      </x:c>
      <x:c r="C16" s="10" t="n">
        <x:v>-145</x:v>
      </x:c>
      <x:c r="D16" s="10" t="n">
        <x:v>-150</x:v>
      </x:c>
      <x:c r="E16" s="10" t="n">
        <x:v>-155</x:v>
      </x:c>
      <x:c r="F16" s="10" t="n">
        <x:v>-160</x:v>
      </x:c>
      <x:c r="G16" s="10" t="n">
        <x:v>-165</x:v>
      </x:c>
      <x:c r="H16" s="10" t="n">
        <x:v>-170</x:v>
      </x:c>
      <x:c r="I16" s="10" t="n">
        <x:v>-168</x:v>
      </x:c>
      <x:c r="J16" s="10" t="n">
        <x:v>-166</x:v>
      </x:c>
      <x:c r="K16" s="10" t="n">
        <x:v>-164</x:v>
      </x:c>
      <x:c r="L16" s="10" t="n">
        <x:v>-166</x:v>
      </x:c>
      <x:c r="M16" s="10" t="n">
        <x:v>-172</x:v>
      </x:c>
      <x:c r="N16" s="10" t="n">
        <x:v>-175</x:v>
      </x:c>
    </x:row>
    <x:row r="17" ht="21" customHeight="1">
      <x:c r="A17" s="9" t="n">
        <x:v>2300</x:v>
      </x:c>
      <x:c r="B17" s="2" t="str">
        <x:v>Deferred Revenue</x:v>
      </x:c>
      <x:c r="C17" s="10" t="n">
        <x:v>-80</x:v>
      </x:c>
      <x:c r="D17" s="10" t="n">
        <x:v>-82</x:v>
      </x:c>
      <x:c r="E17" s="10" t="n">
        <x:v>-85</x:v>
      </x:c>
      <x:c r="F17" s="10" t="n">
        <x:v>-90</x:v>
      </x:c>
      <x:c r="G17" s="10" t="n">
        <x:v>-95</x:v>
      </x:c>
      <x:c r="H17" s="10" t="n">
        <x:v>-100</x:v>
      </x:c>
      <x:c r="I17" s="10" t="n">
        <x:v>-98</x:v>
      </x:c>
      <x:c r="J17" s="10" t="n">
        <x:v>-96</x:v>
      </x:c>
      <x:c r="K17" s="10" t="n">
        <x:v>-94</x:v>
      </x:c>
      <x:c r="L17" s="10" t="n">
        <x:v>-96</x:v>
      </x:c>
      <x:c r="M17" s="10" t="n">
        <x:v>-102</x:v>
      </x:c>
      <x:c r="N17" s="10" t="n">
        <x:v>-105</x:v>
      </x:c>
    </x:row>
    <x:row r="18" ht="21" customHeight="1">
      <x:c r="A18" s="9" t="n">
        <x:v>2400</x:v>
      </x:c>
      <x:c r="B18" s="2" t="str">
        <x:v>Other Accrued Liabilities</x:v>
      </x:c>
      <x:c r="C18" s="10" t="n">
        <x:v>-185</x:v>
      </x:c>
      <x:c r="D18" s="10" t="n">
        <x:v>-190</x:v>
      </x:c>
      <x:c r="E18" s="10" t="n">
        <x:v>-195</x:v>
      </x:c>
      <x:c r="F18" s="10" t="n">
        <x:v>-200</x:v>
      </x:c>
      <x:c r="G18" s="10" t="n">
        <x:v>-205</x:v>
      </x:c>
      <x:c r="H18" s="10" t="n">
        <x:v>-210</x:v>
      </x:c>
      <x:c r="I18" s="10" t="n">
        <x:v>-208</x:v>
      </x:c>
      <x:c r="J18" s="10" t="n">
        <x:v>-206</x:v>
      </x:c>
      <x:c r="K18" s="10" t="n">
        <x:v>-204</x:v>
      </x:c>
      <x:c r="L18" s="10" t="n">
        <x:v>-208</x:v>
      </x:c>
      <x:c r="M18" s="10" t="n">
        <x:v>-214</x:v>
      </x:c>
      <x:c r="N18" s="10" t="n">
        <x:v>-220</x:v>
      </x:c>
    </x:row>
    <x:row r="19" ht="21" customHeight="1">
      <x:c r="A19" s="9" t="n">
        <x:v>2500</x:v>
      </x:c>
      <x:c r="B19" s="2" t="str">
        <x:v>Term Loan</x:v>
      </x:c>
      <x:c r="C19" s="10" t="n">
        <x:v>-1400</x:v>
      </x:c>
      <x:c r="D19" s="10" t="n">
        <x:v>-1363.636</x:v>
      </x:c>
      <x:c r="E19" s="10" t="n">
        <x:v>-1327.273</x:v>
      </x:c>
      <x:c r="F19" s="10" t="n">
        <x:v>-1290.909</x:v>
      </x:c>
      <x:c r="G19" s="10" t="n">
        <x:v>-1254.545</x:v>
      </x:c>
      <x:c r="H19" s="10" t="n">
        <x:v>-1218.182</x:v>
      </x:c>
      <x:c r="I19" s="10" t="n">
        <x:v>-1181.818</x:v>
      </x:c>
      <x:c r="J19" s="10" t="n">
        <x:v>-1145.455</x:v>
      </x:c>
      <x:c r="K19" s="10" t="n">
        <x:v>-1109.091</x:v>
      </x:c>
      <x:c r="L19" s="10" t="n">
        <x:v>-1072.727</x:v>
      </x:c>
      <x:c r="M19" s="10" t="n">
        <x:v>-1036.364</x:v>
      </x:c>
      <x:c r="N19" s="10" t="n">
        <x:v>-1000</x:v>
      </x:c>
    </x:row>
    <x:row r="20" ht="21" customHeight="1">
      <x:c r="A20" s="9" t="n">
        <x:v>3000</x:v>
      </x:c>
      <x:c r="B20" s="2" t="str">
        <x:v>Member's Capital</x:v>
      </x:c>
      <x:c r="C20" s="10" t="n">
        <x:v>-500</x:v>
      </x:c>
      <x:c r="D20" s="10" t="n">
        <x:v>-500</x:v>
      </x:c>
      <x:c r="E20" s="10" t="n">
        <x:v>-500</x:v>
      </x:c>
      <x:c r="F20" s="10" t="n">
        <x:v>-500</x:v>
      </x:c>
      <x:c r="G20" s="10" t="n">
        <x:v>-500</x:v>
      </x:c>
      <x:c r="H20" s="10" t="n">
        <x:v>-500</x:v>
      </x:c>
      <x:c r="I20" s="10" t="n">
        <x:v>-500</x:v>
      </x:c>
      <x:c r="J20" s="10" t="n">
        <x:v>-500</x:v>
      </x:c>
      <x:c r="K20" s="10" t="n">
        <x:v>-500</x:v>
      </x:c>
      <x:c r="L20" s="10" t="n">
        <x:v>-500</x:v>
      </x:c>
      <x:c r="M20" s="10" t="n">
        <x:v>-500</x:v>
      </x:c>
      <x:c r="N20" s="10" t="n">
        <x:v>-500</x:v>
      </x:c>
    </x:row>
    <x:row r="21" ht="21" customHeight="1">
      <x:c r="A21" s="9" t="n">
        <x:v>3100</x:v>
      </x:c>
      <x:c r="B21" s="2" t="str">
        <x:v>Retained Earnings</x:v>
      </x:c>
      <x:c r="C21" s="10" t="n">
        <x:v>-2400</x:v>
      </x:c>
      <x:c r="D21" s="10" t="n">
        <x:v>-2400</x:v>
      </x:c>
      <x:c r="E21" s="10" t="n">
        <x:v>-2400</x:v>
      </x:c>
      <x:c r="F21" s="10" t="n">
        <x:v>-2400</x:v>
      </x:c>
      <x:c r="G21" s="10" t="n">
        <x:v>-2400</x:v>
      </x:c>
      <x:c r="H21" s="10" t="n">
        <x:v>-2400</x:v>
      </x:c>
      <x:c r="I21" s="10" t="n">
        <x:v>-2400</x:v>
      </x:c>
      <x:c r="J21" s="10" t="n">
        <x:v>-2400</x:v>
      </x:c>
      <x:c r="K21" s="10" t="n">
        <x:v>-2400</x:v>
      </x:c>
      <x:c r="L21" s="10" t="n">
        <x:v>-2400</x:v>
      </x:c>
      <x:c r="M21" s="10" t="n">
        <x:v>-2400</x:v>
      </x:c>
      <x:c r="N21" s="10" t="n">
        <x:v>-2400</x:v>
      </x:c>
    </x:row>
    <x:row r="22" ht="21" customHeight="1">
      <x:c r="A22" s="9" t="n">
        <x:v>4000</x:v>
      </x:c>
      <x:c r="B22" s="2" t="str">
        <x:v>Recurring Janitorial Revenue</x:v>
      </x:c>
      <x:c r="C22" s="10" t="n">
        <x:v>-1120</x:v>
      </x:c>
      <x:c r="D22" s="10" t="n">
        <x:v>-2280</x:v>
      </x:c>
      <x:c r="E22" s="10" t="n">
        <x:v>-3510</x:v>
      </x:c>
      <x:c r="F22" s="10" t="n">
        <x:v>-4830</x:v>
      </x:c>
      <x:c r="G22" s="10" t="n">
        <x:v>-6240</x:v>
      </x:c>
      <x:c r="H22" s="10" t="n">
        <x:v>-7730</x:v>
      </x:c>
      <x:c r="I22" s="10" t="n">
        <x:v>-9160</x:v>
      </x:c>
      <x:c r="J22" s="10" t="n">
        <x:v>-10530</x:v>
      </x:c>
      <x:c r="K22" s="10" t="n">
        <x:v>-11870</x:v>
      </x:c>
      <x:c r="L22" s="10" t="n">
        <x:v>-13270</x:v>
      </x:c>
      <x:c r="M22" s="10" t="n">
        <x:v>-14760</x:v>
      </x:c>
      <x:c r="N22" s="10" t="n">
        <x:v>-16200</x:v>
      </x:c>
    </x:row>
    <x:row r="23" ht="21" customHeight="1">
      <x:c r="A23" s="9" t="n">
        <x:v>4010</x:v>
      </x:c>
      <x:c r="B23" s="2" t="str">
        <x:v>Deep Cleaning / Project Revenue</x:v>
      </x:c>
      <x:c r="C23" s="10" t="n">
        <x:v>-80</x:v>
      </x:c>
      <x:c r="D23" s="10" t="n">
        <x:v>-170</x:v>
      </x:c>
      <x:c r="E23" s="10" t="n">
        <x:v>-290</x:v>
      </x:c>
      <x:c r="F23" s="10" t="n">
        <x:v>-420</x:v>
      </x:c>
      <x:c r="G23" s="10" t="n">
        <x:v>-560</x:v>
      </x:c>
      <x:c r="H23" s="10" t="n">
        <x:v>-720</x:v>
      </x:c>
      <x:c r="I23" s="10" t="n">
        <x:v>-890</x:v>
      </x:c>
      <x:c r="J23" s="10" t="n">
        <x:v>-1070</x:v>
      </x:c>
      <x:c r="K23" s="10" t="n">
        <x:v>-1230</x:v>
      </x:c>
      <x:c r="L23" s="10" t="n">
        <x:v>-1380</x:v>
      </x:c>
      <x:c r="M23" s="10" t="n">
        <x:v>-1590</x:v>
      </x:c>
      <x:c r="N23" s="10" t="n">
        <x:v>-1800</x:v>
      </x:c>
    </x:row>
    <x:row r="24" ht="21" customHeight="1">
      <x:c r="A24" s="9" t="n">
        <x:v>5000</x:v>
      </x:c>
      <x:c r="B24" s="2" t="str">
        <x:v>Field Labor</x:v>
      </x:c>
      <x:c r="C24" s="10" t="n">
        <x:v>516</x:v>
      </x:c>
      <x:c r="D24" s="10" t="n">
        <x:v>1053.5</x:v>
      </x:c>
      <x:c r="E24" s="10" t="n">
        <x:v>1634</x:v>
      </x:c>
      <x:c r="F24" s="10" t="n">
        <x:v>2257.5</x:v>
      </x:c>
      <x:c r="G24" s="10" t="n">
        <x:v>2924</x:v>
      </x:c>
      <x:c r="H24" s="10" t="n">
        <x:v>3633.5</x:v>
      </x:c>
      <x:c r="I24" s="10" t="n">
        <x:v>4321.5</x:v>
      </x:c>
      <x:c r="J24" s="10" t="n">
        <x:v>4988</x:v>
      </x:c>
      <x:c r="K24" s="10" t="n">
        <x:v>5633</x:v>
      </x:c>
      <x:c r="L24" s="10" t="n">
        <x:v>6299.5</x:v>
      </x:c>
      <x:c r="M24" s="10" t="n">
        <x:v>7030.5</x:v>
      </x:c>
      <x:c r="N24" s="10" t="n">
        <x:v>7740</x:v>
      </x:c>
    </x:row>
    <x:row r="25" ht="21" customHeight="1">
      <x:c r="A25" s="9" t="n">
        <x:v>5010</x:v>
      </x:c>
      <x:c r="B25" s="2" t="str">
        <x:v>Payroll Taxes &amp; Benefits</x:v>
      </x:c>
      <x:c r="C25" s="10" t="n">
        <x:v>108</x:v>
      </x:c>
      <x:c r="D25" s="10" t="n">
        <x:v>220.5</x:v>
      </x:c>
      <x:c r="E25" s="10" t="n">
        <x:v>342</x:v>
      </x:c>
      <x:c r="F25" s="10" t="n">
        <x:v>472.5</x:v>
      </x:c>
      <x:c r="G25" s="10" t="n">
        <x:v>612</x:v>
      </x:c>
      <x:c r="H25" s="10" t="n">
        <x:v>760.5</x:v>
      </x:c>
      <x:c r="I25" s="10" t="n">
        <x:v>904.5</x:v>
      </x:c>
      <x:c r="J25" s="10" t="n">
        <x:v>1044</x:v>
      </x:c>
      <x:c r="K25" s="10" t="n">
        <x:v>1179</x:v>
      </x:c>
      <x:c r="L25" s="10" t="n">
        <x:v>1318.5</x:v>
      </x:c>
      <x:c r="M25" s="10" t="n">
        <x:v>1471.5</x:v>
      </x:c>
      <x:c r="N25" s="10" t="n">
        <x:v>1620</x:v>
      </x:c>
    </x:row>
    <x:row r="26" ht="21" customHeight="1">
      <x:c r="A26" s="9" t="n">
        <x:v>5020</x:v>
      </x:c>
      <x:c r="B26" s="2" t="str">
        <x:v>Cleaning Supplies</x:v>
      </x:c>
      <x:c r="C26" s="10" t="n">
        <x:v>60</x:v>
      </x:c>
      <x:c r="D26" s="10" t="n">
        <x:v>122.5</x:v>
      </x:c>
      <x:c r="E26" s="10" t="n">
        <x:v>190</x:v>
      </x:c>
      <x:c r="F26" s="10" t="n">
        <x:v>262.5</x:v>
      </x:c>
      <x:c r="G26" s="10" t="n">
        <x:v>340</x:v>
      </x:c>
      <x:c r="H26" s="10" t="n">
        <x:v>422.5</x:v>
      </x:c>
      <x:c r="I26" s="10" t="n">
        <x:v>502.5</x:v>
      </x:c>
      <x:c r="J26" s="10" t="n">
        <x:v>580</x:v>
      </x:c>
      <x:c r="K26" s="10" t="n">
        <x:v>655</x:v>
      </x:c>
      <x:c r="L26" s="10" t="n">
        <x:v>732.5</x:v>
      </x:c>
      <x:c r="M26" s="10" t="n">
        <x:v>817.5</x:v>
      </x:c>
      <x:c r="N26" s="10" t="n">
        <x:v>900</x:v>
      </x:c>
    </x:row>
    <x:row r="27" ht="21" customHeight="1">
      <x:c r="A27" s="9" t="n">
        <x:v>5030</x:v>
      </x:c>
      <x:c r="B27" s="2" t="str">
        <x:v>Subcontractor Costs</x:v>
      </x:c>
      <x:c r="C27" s="10" t="n">
        <x:v>36</x:v>
      </x:c>
      <x:c r="D27" s="10" t="n">
        <x:v>73.5</x:v>
      </x:c>
      <x:c r="E27" s="10" t="n">
        <x:v>114</x:v>
      </x:c>
      <x:c r="F27" s="10" t="n">
        <x:v>157.5</x:v>
      </x:c>
      <x:c r="G27" s="10" t="n">
        <x:v>204</x:v>
      </x:c>
      <x:c r="H27" s="10" t="n">
        <x:v>253.5</x:v>
      </x:c>
      <x:c r="I27" s="10" t="n">
        <x:v>301.5</x:v>
      </x:c>
      <x:c r="J27" s="10" t="n">
        <x:v>348</x:v>
      </x:c>
      <x:c r="K27" s="10" t="n">
        <x:v>393</x:v>
      </x:c>
      <x:c r="L27" s="10" t="n">
        <x:v>439.5</x:v>
      </x:c>
      <x:c r="M27" s="10" t="n">
        <x:v>490.5</x:v>
      </x:c>
      <x:c r="N27" s="10" t="n">
        <x:v>540</x:v>
      </x:c>
    </x:row>
    <x:row r="28" ht="21" customHeight="1">
      <x:c r="A28" s="9" t="n">
        <x:v>6100</x:v>
      </x:c>
      <x:c r="B28" s="2" t="str">
        <x:v>Administrative Salaries</x:v>
      </x:c>
      <x:c r="C28" s="10" t="n">
        <x:v>100</x:v>
      </x:c>
      <x:c r="D28" s="10" t="n">
        <x:v>200</x:v>
      </x:c>
      <x:c r="E28" s="10" t="n">
        <x:v>300</x:v>
      </x:c>
      <x:c r="F28" s="10" t="n">
        <x:v>400</x:v>
      </x:c>
      <x:c r="G28" s="10" t="n">
        <x:v>500</x:v>
      </x:c>
      <x:c r="H28" s="10" t="n">
        <x:v>600</x:v>
      </x:c>
      <x:c r="I28" s="10" t="n">
        <x:v>700</x:v>
      </x:c>
      <x:c r="J28" s="10" t="n">
        <x:v>800</x:v>
      </x:c>
      <x:c r="K28" s="10" t="n">
        <x:v>900</x:v>
      </x:c>
      <x:c r="L28" s="10" t="n">
        <x:v>1000</x:v>
      </x:c>
      <x:c r="M28" s="10" t="n">
        <x:v>1100</x:v>
      </x:c>
      <x:c r="N28" s="10" t="n">
        <x:v>1200</x:v>
      </x:c>
    </x:row>
    <x:row r="29" ht="21" customHeight="1">
      <x:c r="A29" s="9" t="n">
        <x:v>6115</x:v>
      </x:c>
      <x:c r="B29" s="2" t="str">
        <x:v>Owner salary</x:v>
      </x:c>
      <x:c r="C29" s="10" t="n">
        <x:v>29.167</x:v>
      </x:c>
      <x:c r="D29" s="10" t="n">
        <x:v>58.334</x:v>
      </x:c>
      <x:c r="E29" s="10" t="n">
        <x:v>87.501</x:v>
      </x:c>
      <x:c r="F29" s="10" t="n">
        <x:v>116.668</x:v>
      </x:c>
      <x:c r="G29" s="10" t="n">
        <x:v>145.835</x:v>
      </x:c>
      <x:c r="H29" s="10" t="n">
        <x:v>175.002</x:v>
      </x:c>
      <x:c r="I29" s="10" t="n">
        <x:v>204.169</x:v>
      </x:c>
      <x:c r="J29" s="10" t="n">
        <x:v>233.336</x:v>
      </x:c>
      <x:c r="K29" s="10" t="n">
        <x:v>262.50300000000004</x:v>
      </x:c>
      <x:c r="L29" s="10" t="n">
        <x:v>291.6700000000001</x:v>
      </x:c>
      <x:c r="M29" s="10" t="n">
        <x:v>320.8370000000001</x:v>
      </x:c>
      <x:c r="N29" s="10" t="n">
        <x:v>350</x:v>
      </x:c>
    </x:row>
    <x:row r="30" ht="21" customHeight="1">
      <x:c r="A30" s="9" t="n">
        <x:v>6116</x:v>
      </x:c>
      <x:c r="B30" s="2" t="str">
        <x:v>Owner bonus</x:v>
      </x:c>
      <x:c r="C30" s="10" t="n">
        <x:v>3.333</x:v>
      </x:c>
      <x:c r="D30" s="10" t="n">
        <x:v>6.666</x:v>
      </x:c>
      <x:c r="E30" s="10" t="n">
        <x:v>9.999</x:v>
      </x:c>
      <x:c r="F30" s="10" t="n">
        <x:v>13.332</x:v>
      </x:c>
      <x:c r="G30" s="10" t="n">
        <x:v>16.665</x:v>
      </x:c>
      <x:c r="H30" s="10" t="n">
        <x:v>19.997999999999998</x:v>
      </x:c>
      <x:c r="I30" s="10" t="n">
        <x:v>23.330999999999996</x:v>
      </x:c>
      <x:c r="J30" s="10" t="n">
        <x:v>26.663999999999994</x:v>
      </x:c>
      <x:c r="K30" s="10" t="n">
        <x:v>29.996999999999993</x:v>
      </x:c>
      <x:c r="L30" s="10" t="n">
        <x:v>33.32999999999999</x:v>
      </x:c>
      <x:c r="M30" s="10" t="n">
        <x:v>36.66299999999999</x:v>
      </x:c>
      <x:c r="N30" s="10" t="n">
        <x:v>40</x:v>
      </x:c>
    </x:row>
    <x:row r="31" ht="21" customHeight="1">
      <x:c r="A31" s="9" t="n">
        <x:v>6117</x:v>
      </x:c>
      <x:c r="B31" s="2" t="str">
        <x:v>Owner benefits</x:v>
      </x:c>
      <x:c r="C31" s="10" t="n">
        <x:v>2.917</x:v>
      </x:c>
      <x:c r="D31" s="10" t="n">
        <x:v>5.834</x:v>
      </x:c>
      <x:c r="E31" s="10" t="n">
        <x:v>8.751</x:v>
      </x:c>
      <x:c r="F31" s="10" t="n">
        <x:v>11.668</x:v>
      </x:c>
      <x:c r="G31" s="10" t="n">
        <x:v>14.584999999999999</x:v>
      </x:c>
      <x:c r="H31" s="10" t="n">
        <x:v>17.502</x:v>
      </x:c>
      <x:c r="I31" s="10" t="n">
        <x:v>20.418999999999997</x:v>
      </x:c>
      <x:c r="J31" s="10" t="n">
        <x:v>23.336</x:v>
      </x:c>
      <x:c r="K31" s="10" t="n">
        <x:v>26.253</x:v>
      </x:c>
      <x:c r="L31" s="10" t="n">
        <x:v>29.17</x:v>
      </x:c>
      <x:c r="M31" s="10" t="n">
        <x:v>32.087</x:v>
      </x:c>
      <x:c r="N31" s="10" t="n">
        <x:v>35</x:v>
      </x:c>
    </x:row>
    <x:row r="32" ht="21" customHeight="1">
      <x:c r="A32" s="9" t="n">
        <x:v>6120</x:v>
      </x:c>
      <x:c r="B32" s="2" t="str">
        <x:v>Sales &amp; Marketing</x:v>
      </x:c>
      <x:c r="C32" s="10" t="n">
        <x:v>25</x:v>
      </x:c>
      <x:c r="D32" s="10" t="n">
        <x:v>50</x:v>
      </x:c>
      <x:c r="E32" s="10" t="n">
        <x:v>75</x:v>
      </x:c>
      <x:c r="F32" s="10" t="n">
        <x:v>100</x:v>
      </x:c>
      <x:c r="G32" s="10" t="n">
        <x:v>125</x:v>
      </x:c>
      <x:c r="H32" s="10" t="n">
        <x:v>150</x:v>
      </x:c>
      <x:c r="I32" s="10" t="n">
        <x:v>175</x:v>
      </x:c>
      <x:c r="J32" s="10" t="n">
        <x:v>200</x:v>
      </x:c>
      <x:c r="K32" s="10" t="n">
        <x:v>225</x:v>
      </x:c>
      <x:c r="L32" s="10" t="n">
        <x:v>250</x:v>
      </x:c>
      <x:c r="M32" s="10" t="n">
        <x:v>275</x:v>
      </x:c>
      <x:c r="N32" s="10" t="n">
        <x:v>300</x:v>
      </x:c>
    </x:row>
    <x:row r="33" ht="21" customHeight="1">
      <x:c r="A33" s="9" t="n">
        <x:v>6125</x:v>
      </x:c>
      <x:c r="B33" s="2" t="str">
        <x:v>Employee Bonus Expense</x:v>
      </x:c>
      <x:c r="C33" s="10" t="n">
        <x:v>15</x:v>
      </x:c>
      <x:c r="D33" s="10" t="n">
        <x:v>30</x:v>
      </x:c>
      <x:c r="E33" s="10" t="n">
        <x:v>45</x:v>
      </x:c>
      <x:c r="F33" s="10" t="n">
        <x:v>60</x:v>
      </x:c>
      <x:c r="G33" s="10" t="n">
        <x:v>75</x:v>
      </x:c>
      <x:c r="H33" s="10" t="n">
        <x:v>90</x:v>
      </x:c>
      <x:c r="I33" s="10" t="n">
        <x:v>105</x:v>
      </x:c>
      <x:c r="J33" s="10" t="n">
        <x:v>120</x:v>
      </x:c>
      <x:c r="K33" s="10" t="n">
        <x:v>135</x:v>
      </x:c>
      <x:c r="L33" s="10" t="n">
        <x:v>150</x:v>
      </x:c>
      <x:c r="M33" s="10" t="n">
        <x:v>165</x:v>
      </x:c>
      <x:c r="N33" s="10" t="n">
        <x:v>180</x:v>
      </x:c>
    </x:row>
    <x:row r="34" ht="21" customHeight="1">
      <x:c r="A34" s="9" t="n">
        <x:v>6200</x:v>
      </x:c>
      <x:c r="B34" s="2" t="str">
        <x:v>Insurance</x:v>
      </x:c>
      <x:c r="C34" s="10" t="n">
        <x:v>29.167</x:v>
      </x:c>
      <x:c r="D34" s="10" t="n">
        <x:v>58.333</x:v>
      </x:c>
      <x:c r="E34" s="10" t="n">
        <x:v>87.5</x:v>
      </x:c>
      <x:c r="F34" s="10" t="n">
        <x:v>116.667</x:v>
      </x:c>
      <x:c r="G34" s="10" t="n">
        <x:v>145.833</x:v>
      </x:c>
      <x:c r="H34" s="10" t="n">
        <x:v>175</x:v>
      </x:c>
      <x:c r="I34" s="10" t="n">
        <x:v>204.167</x:v>
      </x:c>
      <x:c r="J34" s="10" t="n">
        <x:v>233.333</x:v>
      </x:c>
      <x:c r="K34" s="10" t="n">
        <x:v>262.5</x:v>
      </x:c>
      <x:c r="L34" s="10" t="n">
        <x:v>291.667</x:v>
      </x:c>
      <x:c r="M34" s="10" t="n">
        <x:v>320.833</x:v>
      </x:c>
      <x:c r="N34" s="10" t="n">
        <x:v>350</x:v>
      </x:c>
    </x:row>
    <x:row r="35" ht="21" customHeight="1">
      <x:c r="A35" s="9" t="n">
        <x:v>6210</x:v>
      </x:c>
      <x:c r="B35" s="2" t="str">
        <x:v>Related-Party Rent</x:v>
      </x:c>
      <x:c r="C35" s="10" t="n">
        <x:v>10</x:v>
      </x:c>
      <x:c r="D35" s="10" t="n">
        <x:v>20</x:v>
      </x:c>
      <x:c r="E35" s="10" t="n">
        <x:v>30</x:v>
      </x:c>
      <x:c r="F35" s="10" t="n">
        <x:v>40</x:v>
      </x:c>
      <x:c r="G35" s="10" t="n">
        <x:v>50</x:v>
      </x:c>
      <x:c r="H35" s="10" t="n">
        <x:v>60</x:v>
      </x:c>
      <x:c r="I35" s="10" t="n">
        <x:v>70</x:v>
      </x:c>
      <x:c r="J35" s="10" t="n">
        <x:v>80</x:v>
      </x:c>
      <x:c r="K35" s="10" t="n">
        <x:v>90</x:v>
      </x:c>
      <x:c r="L35" s="10" t="n">
        <x:v>100</x:v>
      </x:c>
      <x:c r="M35" s="10" t="n">
        <x:v>110</x:v>
      </x:c>
      <x:c r="N35" s="10" t="n">
        <x:v>120</x:v>
      </x:c>
    </x:row>
    <x:row r="36" ht="21" customHeight="1">
      <x:c r="A36" s="9" t="n">
        <x:v>6215</x:v>
      </x:c>
      <x:c r="B36" s="2" t="str">
        <x:v>Occupancy operating charges</x:v>
      </x:c>
      <x:c r="C36" s="10" t="n">
        <x:v>5</x:v>
      </x:c>
      <x:c r="D36" s="10" t="n">
        <x:v>10</x:v>
      </x:c>
      <x:c r="E36" s="10" t="n">
        <x:v>15</x:v>
      </x:c>
      <x:c r="F36" s="10" t="n">
        <x:v>20</x:v>
      </x:c>
      <x:c r="G36" s="10" t="n">
        <x:v>25</x:v>
      </x:c>
      <x:c r="H36" s="10" t="n">
        <x:v>30</x:v>
      </x:c>
      <x:c r="I36" s="10" t="n">
        <x:v>35</x:v>
      </x:c>
      <x:c r="J36" s="10" t="n">
        <x:v>40</x:v>
      </x:c>
      <x:c r="K36" s="10" t="n">
        <x:v>45</x:v>
      </x:c>
      <x:c r="L36" s="10" t="n">
        <x:v>50</x:v>
      </x:c>
      <x:c r="M36" s="10" t="n">
        <x:v>55</x:v>
      </x:c>
      <x:c r="N36" s="10" t="n">
        <x:v>60</x:v>
      </x:c>
    </x:row>
    <x:row r="37" ht="21" customHeight="1">
      <x:c r="A37" s="9" t="n">
        <x:v>6220</x:v>
      </x:c>
      <x:c r="B37" s="2" t="str">
        <x:v>Vehicle &amp; Fuel</x:v>
      </x:c>
      <x:c r="C37" s="10" t="n">
        <x:v>37.5</x:v>
      </x:c>
      <x:c r="D37" s="10" t="n">
        <x:v>75</x:v>
      </x:c>
      <x:c r="E37" s="10" t="n">
        <x:v>112.5</x:v>
      </x:c>
      <x:c r="F37" s="10" t="n">
        <x:v>150</x:v>
      </x:c>
      <x:c r="G37" s="10" t="n">
        <x:v>187.5</x:v>
      </x:c>
      <x:c r="H37" s="10" t="n">
        <x:v>225</x:v>
      </x:c>
      <x:c r="I37" s="10" t="n">
        <x:v>262.5</x:v>
      </x:c>
      <x:c r="J37" s="10" t="n">
        <x:v>300</x:v>
      </x:c>
      <x:c r="K37" s="10" t="n">
        <x:v>337.5</x:v>
      </x:c>
      <x:c r="L37" s="10" t="n">
        <x:v>375</x:v>
      </x:c>
      <x:c r="M37" s="10" t="n">
        <x:v>412.5</x:v>
      </x:c>
      <x:c r="N37" s="10" t="n">
        <x:v>450</x:v>
      </x:c>
    </x:row>
    <x:row r="38" ht="21" customHeight="1">
      <x:c r="A38" s="9" t="n">
        <x:v>6230</x:v>
      </x:c>
      <x:c r="B38" s="2" t="str">
        <x:v>Professional Fees</x:v>
      </x:c>
      <x:c r="C38" s="10" t="n">
        <x:v>8.333</x:v>
      </x:c>
      <x:c r="D38" s="10" t="n">
        <x:v>16.667</x:v>
      </x:c>
      <x:c r="E38" s="10" t="n">
        <x:v>25</x:v>
      </x:c>
      <x:c r="F38" s="10" t="n">
        <x:v>83.333</x:v>
      </x:c>
      <x:c r="G38" s="10" t="n">
        <x:v>91.667</x:v>
      </x:c>
      <x:c r="H38" s="10" t="n">
        <x:v>100</x:v>
      </x:c>
      <x:c r="I38" s="10" t="n">
        <x:v>108.333</x:v>
      </x:c>
      <x:c r="J38" s="10" t="n">
        <x:v>166.667</x:v>
      </x:c>
      <x:c r="K38" s="10" t="n">
        <x:v>175</x:v>
      </x:c>
      <x:c r="L38" s="10" t="n">
        <x:v>183.333</x:v>
      </x:c>
      <x:c r="M38" s="10" t="n">
        <x:v>241.667</x:v>
      </x:c>
      <x:c r="N38" s="10" t="n">
        <x:v>250</x:v>
      </x:c>
    </x:row>
    <x:row r="39" ht="21" customHeight="1">
      <x:c r="A39" s="9" t="n">
        <x:v>6240</x:v>
      </x:c>
      <x:c r="B39" s="2" t="str">
        <x:v>Software &amp; Office</x:v>
      </x:c>
      <x:c r="C39" s="10" t="n">
        <x:v>25</x:v>
      </x:c>
      <x:c r="D39" s="10" t="n">
        <x:v>50</x:v>
      </x:c>
      <x:c r="E39" s="10" t="n">
        <x:v>75</x:v>
      </x:c>
      <x:c r="F39" s="10" t="n">
        <x:v>100</x:v>
      </x:c>
      <x:c r="G39" s="10" t="n">
        <x:v>125</x:v>
      </x:c>
      <x:c r="H39" s="10" t="n">
        <x:v>150</x:v>
      </x:c>
      <x:c r="I39" s="10" t="n">
        <x:v>175</x:v>
      </x:c>
      <x:c r="J39" s="10" t="n">
        <x:v>200</x:v>
      </x:c>
      <x:c r="K39" s="10" t="n">
        <x:v>225</x:v>
      </x:c>
      <x:c r="L39" s="10" t="n">
        <x:v>250</x:v>
      </x:c>
      <x:c r="M39" s="10" t="n">
        <x:v>275</x:v>
      </x:c>
      <x:c r="N39" s="10" t="n">
        <x:v>300</x:v>
      </x:c>
    </x:row>
    <x:row r="40" ht="21" customHeight="1">
      <x:c r="A40" s="9" t="n">
        <x:v>6250</x:v>
      </x:c>
      <x:c r="B40" s="2" t="str">
        <x:v>Recruiting &amp; Training</x:v>
      </x:c>
      <x:c r="C40" s="10" t="n">
        <x:v>18.333</x:v>
      </x:c>
      <x:c r="D40" s="10" t="n">
        <x:v>36.667</x:v>
      </x:c>
      <x:c r="E40" s="10" t="n">
        <x:v>55</x:v>
      </x:c>
      <x:c r="F40" s="10" t="n">
        <x:v>73.333</x:v>
      </x:c>
      <x:c r="G40" s="10" t="n">
        <x:v>91.667</x:v>
      </x:c>
      <x:c r="H40" s="10" t="n">
        <x:v>110</x:v>
      </x:c>
      <x:c r="I40" s="10" t="n">
        <x:v>128.333</x:v>
      </x:c>
      <x:c r="J40" s="10" t="n">
        <x:v>146.667</x:v>
      </x:c>
      <x:c r="K40" s="10" t="n">
        <x:v>165</x:v>
      </x:c>
      <x:c r="L40" s="10" t="n">
        <x:v>183.333</x:v>
      </x:c>
      <x:c r="M40" s="10" t="n">
        <x:v>201.667</x:v>
      </x:c>
      <x:c r="N40" s="10" t="n">
        <x:v>220</x:v>
      </x:c>
    </x:row>
    <x:row r="41" ht="21" customHeight="1">
      <x:c r="A41" s="9" t="n">
        <x:v>6260</x:v>
      </x:c>
      <x:c r="B41" s="2" t="str">
        <x:v>Utilities &amp; Warehouse</x:v>
      </x:c>
      <x:c r="C41" s="10" t="n">
        <x:v>19.167</x:v>
      </x:c>
      <x:c r="D41" s="10" t="n">
        <x:v>38.333</x:v>
      </x:c>
      <x:c r="E41" s="10" t="n">
        <x:v>57.5</x:v>
      </x:c>
      <x:c r="F41" s="10" t="n">
        <x:v>76.667</x:v>
      </x:c>
      <x:c r="G41" s="10" t="n">
        <x:v>95.833</x:v>
      </x:c>
      <x:c r="H41" s="10" t="n">
        <x:v>115</x:v>
      </x:c>
      <x:c r="I41" s="10" t="n">
        <x:v>134.167</x:v>
      </x:c>
      <x:c r="J41" s="10" t="n">
        <x:v>153.333</x:v>
      </x:c>
      <x:c r="K41" s="10" t="n">
        <x:v>172.5</x:v>
      </x:c>
      <x:c r="L41" s="10" t="n">
        <x:v>191.667</x:v>
      </x:c>
      <x:c r="M41" s="10" t="n">
        <x:v>210.833</x:v>
      </x:c>
      <x:c r="N41" s="10" t="n">
        <x:v>230</x:v>
      </x:c>
    </x:row>
    <x:row r="42" ht="21" customHeight="1">
      <x:c r="A42" s="9" t="n">
        <x:v>6270</x:v>
      </x:c>
      <x:c r="B42" s="2" t="str">
        <x:v>Other G&amp;A</x:v>
      </x:c>
      <x:c r="C42" s="10" t="n">
        <x:v>59.583</x:v>
      </x:c>
      <x:c r="D42" s="10" t="n">
        <x:v>119.166</x:v>
      </x:c>
      <x:c r="E42" s="10" t="n">
        <x:v>178.749</x:v>
      </x:c>
      <x:c r="F42" s="10" t="n">
        <x:v>238.332</x:v>
      </x:c>
      <x:c r="G42" s="10" t="n">
        <x:v>297.915</x:v>
      </x:c>
      <x:c r="H42" s="10" t="n">
        <x:v>357.498</x:v>
      </x:c>
      <x:c r="I42" s="10" t="n">
        <x:v>417.081</x:v>
      </x:c>
      <x:c r="J42" s="10" t="n">
        <x:v>476.664</x:v>
      </x:c>
      <x:c r="K42" s="10" t="n">
        <x:v>536.247</x:v>
      </x:c>
      <x:c r="L42" s="10" t="n">
        <x:v>595.83</x:v>
      </x:c>
      <x:c r="M42" s="10" t="n">
        <x:v>655.413</x:v>
      </x:c>
      <x:c r="N42" s="10" t="n">
        <x:v>715</x:v>
      </x:c>
    </x:row>
    <x:row r="43" ht="21" customHeight="1">
      <x:c r="A43" s="9" t="n">
        <x:v>7000</x:v>
      </x:c>
      <x:c r="B43" s="2" t="str">
        <x:v>Depreciation &amp; Amortization</x:v>
      </x:c>
      <x:c r="C43" s="10" t="n">
        <x:v>25</x:v>
      </x:c>
      <x:c r="D43" s="10" t="n">
        <x:v>50</x:v>
      </x:c>
      <x:c r="E43" s="10" t="n">
        <x:v>75</x:v>
      </x:c>
      <x:c r="F43" s="10" t="n">
        <x:v>100</x:v>
      </x:c>
      <x:c r="G43" s="10" t="n">
        <x:v>125</x:v>
      </x:c>
      <x:c r="H43" s="10" t="n">
        <x:v>150</x:v>
      </x:c>
      <x:c r="I43" s="10" t="n">
        <x:v>175</x:v>
      </x:c>
      <x:c r="J43" s="10" t="n">
        <x:v>200</x:v>
      </x:c>
      <x:c r="K43" s="10" t="n">
        <x:v>225</x:v>
      </x:c>
      <x:c r="L43" s="10" t="n">
        <x:v>250</x:v>
      </x:c>
      <x:c r="M43" s="10" t="n">
        <x:v>275</x:v>
      </x:c>
      <x:c r="N43" s="10" t="n">
        <x:v>300</x:v>
      </x:c>
    </x:row>
    <x:row r="44" ht="21" customHeight="1">
      <x:c r="A44" s="9" t="n">
        <x:v>7100</x:v>
      </x:c>
      <x:c r="B44" s="2" t="str">
        <x:v>Interest Expense</x:v>
      </x:c>
      <x:c r="C44" s="10" t="n">
        <x:v>8.333</x:v>
      </x:c>
      <x:c r="D44" s="10" t="n">
        <x:v>16.667</x:v>
      </x:c>
      <x:c r="E44" s="10" t="n">
        <x:v>25</x:v>
      </x:c>
      <x:c r="F44" s="10" t="n">
        <x:v>33.333</x:v>
      </x:c>
      <x:c r="G44" s="10" t="n">
        <x:v>41.667</x:v>
      </x:c>
      <x:c r="H44" s="10" t="n">
        <x:v>50</x:v>
      </x:c>
      <x:c r="I44" s="10" t="n">
        <x:v>58.333</x:v>
      </x:c>
      <x:c r="J44" s="10" t="n">
        <x:v>66.667</x:v>
      </x:c>
      <x:c r="K44" s="10" t="n">
        <x:v>75</x:v>
      </x:c>
      <x:c r="L44" s="10" t="n">
        <x:v>83.333</x:v>
      </x:c>
      <x:c r="M44" s="10" t="n">
        <x:v>91.667</x:v>
      </x:c>
      <x:c r="N44" s="10" t="n">
        <x:v>100</x:v>
      </x:c>
    </x:row>
    <x:row r="45" ht="21" customHeight="1">
      <x:c r="A45" s="9" t="n">
        <x:v>7200</x:v>
      </x:c>
      <x:c r="B45" s="2" t="str">
        <x:v>Income Tax Expense</x:v>
      </x:c>
      <x:c r="C45" s="10" t="n">
        <x:v>29.167</x:v>
      </x:c>
      <x:c r="D45" s="10" t="n">
        <x:v>58.333</x:v>
      </x:c>
      <x:c r="E45" s="10" t="n">
        <x:v>87.5</x:v>
      </x:c>
      <x:c r="F45" s="10" t="n">
        <x:v>116.667</x:v>
      </x:c>
      <x:c r="G45" s="10" t="n">
        <x:v>145.833</x:v>
      </x:c>
      <x:c r="H45" s="10" t="n">
        <x:v>175</x:v>
      </x:c>
      <x:c r="I45" s="10" t="n">
        <x:v>204.167</x:v>
      </x:c>
      <x:c r="J45" s="10" t="n">
        <x:v>233.333</x:v>
      </x:c>
      <x:c r="K45" s="10" t="n">
        <x:v>262.5</x:v>
      </x:c>
      <x:c r="L45" s="10" t="n">
        <x:v>291.667</x:v>
      </x:c>
      <x:c r="M45" s="10" t="n">
        <x:v>320.833</x:v>
      </x:c>
      <x:c r="N45" s="10" t="n">
        <x:v>350</x:v>
      </x:c>
    </x:row>
    <x:row r="46" ht="21" customHeight="1">
      <x:c r="A46" s="2"/>
      <x:c r="B46" s="2"/>
      <x:c r="C46" s="2"/>
      <x:c r="D46" s="2"/>
      <x:c r="E46" s="2"/>
      <x:c r="F46" s="2"/>
      <x:c r="G46" s="2"/>
      <x:c r="H46" s="2"/>
      <x:c r="I46" s="2"/>
      <x:c r="J46" s="2"/>
      <x:c r="K46" s="2"/>
      <x:c r="L46" s="2"/>
      <x:c r="M46" s="2"/>
      <x:c r="N46" s="2"/>
    </x:row>
    <x:row r="47" ht="21" customHeight="1">
      <x:c r="A47" s="14" t="str">
        <x:v>TB check</x:v>
      </x:c>
      <x:c r="B47" s="14"/>
      <x:c r="C47" s="15" t="n">
        <x:f>ROUND(SUM(C6:C45),6)</x:f>
        <x:v>0</x:v>
      </x:c>
      <x:c r="D47" s="15" t="n">
        <x:f>ROUND(SUM(D6:D45),6)</x:f>
        <x:v>0</x:v>
      </x:c>
      <x:c r="E47" s="15" t="n">
        <x:f>ROUND(SUM(E6:E45),6)</x:f>
        <x:v>0</x:v>
      </x:c>
      <x:c r="F47" s="15" t="n">
        <x:f>ROUND(SUM(F6:F45),6)</x:f>
        <x:v>0</x:v>
      </x:c>
      <x:c r="G47" s="15" t="n">
        <x:f>ROUND(SUM(G6:G45),6)</x:f>
        <x:v>0</x:v>
      </x:c>
      <x:c r="H47" s="15" t="n">
        <x:f>ROUND(SUM(H6:H45),6)</x:f>
        <x:v>0</x:v>
      </x:c>
      <x:c r="I47" s="15" t="n">
        <x:f>ROUND(SUM(I6:I45),6)</x:f>
        <x:v>0</x:v>
      </x:c>
      <x:c r="J47" s="15" t="n">
        <x:f>ROUND(SUM(J6:J45),6)</x:f>
        <x:v>0</x:v>
      </x:c>
      <x:c r="K47" s="15" t="n">
        <x:f>ROUND(SUM(K6:K45),6)</x:f>
        <x:v>0</x:v>
      </x:c>
      <x:c r="L47" s="15" t="n">
        <x:f>ROUND(SUM(L6:L45),6)</x:f>
        <x:v>0</x:v>
      </x:c>
      <x:c r="M47" s="15" t="n">
        <x:f>ROUND(SUM(M6:M45),6)</x:f>
        <x:v>0</x:v>
      </x:c>
      <x:c r="N47" s="15" t="n">
        <x:f>ROUND(SUM(N6:N45),6)</x:f>
        <x:v>0</x:v>
      </x:c>
    </x:row>
    <x:row r="48" ht="21" customHeight="1">
      <x:c r="A48" s="2"/>
      <x:c r="B48" s="2"/>
      <x:c r="C48" s="2"/>
      <x:c r="D48" s="2"/>
      <x:c r="E48" s="2"/>
      <x:c r="F48" s="2"/>
      <x:c r="G48" s="2"/>
      <x:c r="H48" s="2"/>
      <x:c r="I48" s="2"/>
      <x:c r="J48" s="2"/>
      <x:c r="K48" s="2"/>
      <x:c r="L48" s="2"/>
      <x:c r="M48" s="2"/>
      <x:c r="N48" s="2"/>
    </x:row>
    <x:row r="49" ht="21" customHeight="1">
      <x:c r="A49" s="2" t="str">
        <x:v>P&amp;L accounts are year-to-date balances. Balance-sheet accounts are month-end balances.</x:v>
      </x:c>
      <x:c r="B49" s="2"/>
      <x:c r="C49" s="2"/>
      <x:c r="D49" s="2"/>
      <x:c r="E49" s="2"/>
      <x:c r="F49" s="2"/>
      <x:c r="G49" s="2"/>
      <x:c r="H49" s="2"/>
      <x:c r="I49" s="2"/>
      <x:c r="J49" s="2"/>
      <x:c r="K49" s="2"/>
      <x:c r="L49" s="2"/>
      <x:c r="M49" s="2"/>
      <x:c r="N49" s="2"/>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3" hidden="0" customWidth="1"/>
    <x:col min="2" max="2" width="14" hidden="0" customWidth="1"/>
    <x:col min="3" max="3" width="3"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9" customHeight="1">
      <x:c r="A1" s="2"/>
      <x:c r="B1" s="2"/>
      <x:c r="C1" s="2"/>
      <x:c r="D1" s="2"/>
      <x:c r="E1" s="2"/>
      <x:c r="F1" s="2"/>
      <x:c r="G1" s="2"/>
      <x:c r="H1" s="2"/>
      <x:c r="I1" s="2"/>
      <x:c r="J1" s="2"/>
      <x:c r="K1" s="2"/>
      <x:c r="L1" s="2"/>
      <x:c r="M1" s="2"/>
      <x:c r="N1" s="2"/>
      <x:c r="O1" s="2"/>
    </x:row>
    <x:row r="2" ht="21" customHeight="1">
      <x:c r="A2" s="3" t="str">
        <x:v>Source reconciliation checks</x:v>
      </x:c>
      <x:c r="B2" s="2"/>
      <x:c r="C2" s="2"/>
      <x:c r="D2" s="2"/>
      <x:c r="E2" s="2"/>
      <x:c r="F2" s="2"/>
      <x:c r="G2" s="2"/>
      <x:c r="H2" s="2"/>
      <x:c r="I2" s="2"/>
      <x:c r="J2" s="2"/>
      <x:c r="K2" s="2"/>
      <x:c r="L2" s="2"/>
      <x:c r="M2" s="2"/>
      <x:c r="N2" s="2"/>
      <x:c r="O2" s="2"/>
    </x:row>
    <x:row r="3" ht="21" customHeight="1">
      <x:c r="A3" s="4" t="str">
        <x:v>Break Into FDD | $000 | Checks cover the accounting workflow; they do not grade your judgment</x:v>
      </x:c>
      <x:c r="B3" s="2"/>
      <x:c r="C3" s="2"/>
      <x:c r="D3" s="2"/>
      <x:c r="E3" s="2"/>
      <x:c r="F3" s="2"/>
      <x:c r="G3" s="2"/>
      <x:c r="H3" s="2"/>
      <x:c r="I3" s="2"/>
      <x:c r="J3" s="2"/>
      <x:c r="K3" s="2"/>
      <x:c r="L3" s="2"/>
      <x:c r="M3" s="2"/>
      <x:c r="N3" s="2"/>
      <x:c r="O3" s="2"/>
    </x:row>
    <x:row r="4" ht="21" customHeight="1">
      <x:c r="A4" s="2"/>
      <x:c r="B4" s="2"/>
      <x:c r="C4" s="2"/>
      <x:c r="D4" s="2"/>
      <x:c r="E4" s="2"/>
      <x:c r="F4" s="2"/>
      <x:c r="G4" s="2"/>
      <x:c r="H4" s="2"/>
      <x:c r="I4" s="2"/>
      <x:c r="J4" s="2"/>
      <x:c r="K4" s="2"/>
      <x:c r="L4" s="2"/>
      <x:c r="M4" s="2"/>
      <x:c r="N4" s="2"/>
      <x:c r="O4" s="2"/>
    </x:row>
    <x:row r="5" ht="27" customHeight="1">
      <x:c r="A5" s="7" t="str">
        <x:v>$000</x:v>
      </x:c>
      <x:c r="B5" s="7" t="str">
        <x:v>FY2025</x:v>
      </x:c>
      <x:c r="C5" s="18" t="str"/>
      <x:c r="D5" s="8" t="n">
        <x:v>45658</x:v>
      </x:c>
      <x:c r="E5" s="8" t="n">
        <x:v>45689</x:v>
      </x:c>
      <x:c r="F5" s="8" t="n">
        <x:v>45717</x:v>
      </x:c>
      <x:c r="G5" s="8" t="n">
        <x:v>45748</x:v>
      </x:c>
      <x:c r="H5" s="8" t="n">
        <x:v>45778</x:v>
      </x:c>
      <x:c r="I5" s="8" t="n">
        <x:v>45809</x:v>
      </x:c>
      <x:c r="J5" s="8" t="n">
        <x:v>45839</x:v>
      </x:c>
      <x:c r="K5" s="8" t="n">
        <x:v>45870</x:v>
      </x:c>
      <x:c r="L5" s="8" t="n">
        <x:v>45901</x:v>
      </x:c>
      <x:c r="M5" s="8" t="n">
        <x:v>45931</x:v>
      </x:c>
      <x:c r="N5" s="8" t="n">
        <x:v>45962</x:v>
      </x:c>
      <x:c r="O5" s="8" t="n">
        <x:v>45992</x:v>
      </x:c>
    </x:row>
    <x:row r="6" ht="21" customHeight="1">
      <x:c r="A6" s="2" t="str">
        <x:v>Raw TB: debits less credits</x:v>
      </x:c>
      <x:c r="B6" s="11" t="n">
        <x:f>SUM(D6:O6)</x:f>
        <x:v>0</x:v>
      </x:c>
      <x:c r="C6" s="44"/>
      <x:c r="D6" s="11" t="n">
        <x:f>ROUND(SUM('Raw TB'!C6:C45),6)</x:f>
        <x:v>0</x:v>
      </x:c>
      <x:c r="E6" s="11" t="n">
        <x:f>ROUND(SUM('Raw TB'!D6:D45),6)</x:f>
        <x:v>0</x:v>
      </x:c>
      <x:c r="F6" s="11" t="n">
        <x:f>ROUND(SUM('Raw TB'!E6:E45),6)</x:f>
        <x:v>0</x:v>
      </x:c>
      <x:c r="G6" s="11" t="n">
        <x:f>ROUND(SUM('Raw TB'!F6:F45),6)</x:f>
        <x:v>0</x:v>
      </x:c>
      <x:c r="H6" s="11" t="n">
        <x:f>ROUND(SUM('Raw TB'!G6:G45),6)</x:f>
        <x:v>0</x:v>
      </x:c>
      <x:c r="I6" s="11" t="n">
        <x:f>ROUND(SUM('Raw TB'!H6:H45),6)</x:f>
        <x:v>0</x:v>
      </x:c>
      <x:c r="J6" s="11" t="n">
        <x:f>ROUND(SUM('Raw TB'!I6:I45),6)</x:f>
        <x:v>0</x:v>
      </x:c>
      <x:c r="K6" s="11" t="n">
        <x:f>ROUND(SUM('Raw TB'!J6:J45),6)</x:f>
        <x:v>0</x:v>
      </x:c>
      <x:c r="L6" s="11" t="n">
        <x:f>ROUND(SUM('Raw TB'!K6:K45),6)</x:f>
        <x:v>0</x:v>
      </x:c>
      <x:c r="M6" s="11" t="n">
        <x:f>ROUND(SUM('Raw TB'!L6:L45),6)</x:f>
        <x:v>0</x:v>
      </x:c>
      <x:c r="N6" s="11" t="n">
        <x:f>ROUND(SUM('Raw TB'!M6:M45),6)</x:f>
        <x:v>0</x:v>
      </x:c>
      <x:c r="O6" s="11" t="n">
        <x:f>ROUND(SUM('Raw TB'!N6:N45),6)</x:f>
        <x:v>0</x:v>
      </x:c>
    </x:row>
    <x:row r="7" ht="21" customHeight="1">
      <x:c r="A7" s="2" t="str">
        <x:v>Monthlyized P&amp;L agrees to YTD change</x:v>
      </x:c>
      <x:c r="B7" s="11" t="n">
        <x:f>SUM(D7:O7)</x:f>
        <x:v>0</x:v>
      </x:c>
      <x:c r="C7" s="44"/>
      <x:c r="D7" s="11" t="n">
        <x:f>ROUND('Reported PL'!D40-((-SUM('Raw TB'!C22:C45))-(0)),6)</x:f>
        <x:v>0</x:v>
      </x:c>
      <x:c r="E7" s="11" t="n">
        <x:f>ROUND('Reported PL'!E40-((-SUM('Raw TB'!D22:D45))-(-SUM('Raw TB'!C22:C45))),6)</x:f>
        <x:v>0</x:v>
      </x:c>
      <x:c r="F7" s="11" t="n">
        <x:f>ROUND('Reported PL'!F40-((-SUM('Raw TB'!E22:E45))-(-SUM('Raw TB'!D22:D45))),6)</x:f>
        <x:v>0</x:v>
      </x:c>
      <x:c r="G7" s="11" t="n">
        <x:f>ROUND('Reported PL'!G40-((-SUM('Raw TB'!F22:F45))-(-SUM('Raw TB'!E22:E45))),6)</x:f>
        <x:v>0</x:v>
      </x:c>
      <x:c r="H7" s="11" t="n">
        <x:f>ROUND('Reported PL'!H40-((-SUM('Raw TB'!G22:G45))-(-SUM('Raw TB'!F22:F45))),6)</x:f>
        <x:v>0</x:v>
      </x:c>
      <x:c r="I7" s="11" t="n">
        <x:f>ROUND('Reported PL'!I40-((-SUM('Raw TB'!H22:H45))-(-SUM('Raw TB'!G22:G45))),6)</x:f>
        <x:v>0</x:v>
      </x:c>
      <x:c r="J7" s="11" t="n">
        <x:f>ROUND('Reported PL'!J40-((-SUM('Raw TB'!I22:I45))-(-SUM('Raw TB'!H22:H45))),6)</x:f>
        <x:v>0</x:v>
      </x:c>
      <x:c r="K7" s="11" t="n">
        <x:f>ROUND('Reported PL'!K40-((-SUM('Raw TB'!J22:J45))-(-SUM('Raw TB'!I22:I45))),6)</x:f>
        <x:v>0</x:v>
      </x:c>
      <x:c r="L7" s="11" t="n">
        <x:f>ROUND('Reported PL'!L40-((-SUM('Raw TB'!K22:K45))-(-SUM('Raw TB'!J22:J45))),6)</x:f>
        <x:v>0</x:v>
      </x:c>
      <x:c r="M7" s="11" t="n">
        <x:f>ROUND('Reported PL'!M40-((-SUM('Raw TB'!L22:L45))-(-SUM('Raw TB'!K22:K45))),6)</x:f>
        <x:v>0</x:v>
      </x:c>
      <x:c r="N7" s="11" t="n">
        <x:f>ROUND('Reported PL'!N40-((-SUM('Raw TB'!M22:M45))-(-SUM('Raw TB'!L22:L45))),6)</x:f>
        <x:v>0</x:v>
      </x:c>
      <x:c r="O7" s="11" t="n">
        <x:f>ROUND('Reported PL'!O40-((-SUM('Raw TB'!N22:N45))-(-SUM('Raw TB'!M22:M45))),6)</x:f>
        <x:v>0</x:v>
      </x:c>
    </x:row>
    <x:row r="8" ht="21" customHeight="1">
      <x:c r="A8" s="2" t="str">
        <x:v>Mapping count less raw account count</x:v>
      </x:c>
      <x:c r="B8" s="11" t="n">
        <x:f>COUNT(Mapping!A6:A45)-COUNT('Raw TB'!A6:A45)</x:f>
        <x:v>0</x:v>
      </x:c>
      <x:c r="C8" s="44"/>
      <x:c r="D8" s="11"/>
      <x:c r="E8" s="11"/>
      <x:c r="F8" s="11"/>
      <x:c r="G8" s="11"/>
      <x:c r="H8" s="11"/>
      <x:c r="I8" s="11"/>
      <x:c r="J8" s="11"/>
      <x:c r="K8" s="11"/>
      <x:c r="L8" s="11"/>
      <x:c r="M8" s="11"/>
      <x:c r="N8" s="11"/>
      <x:c r="O8" s="11"/>
    </x:row>
    <x:row r="9" ht="21" customHeight="1">
      <x:c r="A9" s="2"/>
      <x:c r="B9" s="11"/>
      <x:c r="C9" s="44"/>
      <x:c r="D9" s="11"/>
      <x:c r="E9" s="11"/>
      <x:c r="F9" s="11"/>
      <x:c r="G9" s="11"/>
      <x:c r="H9" s="11"/>
      <x:c r="I9" s="11"/>
      <x:c r="J9" s="11"/>
      <x:c r="K9" s="11"/>
      <x:c r="L9" s="11"/>
      <x:c r="M9" s="11"/>
      <x:c r="N9" s="11"/>
      <x:c r="O9" s="11"/>
    </x:row>
    <x:row r="10" ht="21" customHeight="1">
      <x:c r="A10" s="2" t="str">
        <x:v>FY revenue less source control</x:v>
      </x:c>
      <x:c r="B10" s="11" t="n">
        <x:f>ROUND('Reported PL'!B8-18000,6)</x:f>
        <x:v>0</x:v>
      </x:c>
      <x:c r="C10" s="44"/>
      <x:c r="D10" s="11"/>
      <x:c r="E10" s="11"/>
      <x:c r="F10" s="11"/>
      <x:c r="G10" s="11"/>
      <x:c r="H10" s="11"/>
      <x:c r="I10" s="11"/>
      <x:c r="J10" s="11"/>
      <x:c r="K10" s="11"/>
      <x:c r="L10" s="11"/>
      <x:c r="M10" s="11"/>
      <x:c r="N10" s="11"/>
      <x:c r="O10" s="11"/>
    </x:row>
    <x:row r="11" ht="21" customHeight="1">
      <x:c r="A11" s="2" t="str">
        <x:v>Reported EBITDA less source control</x:v>
      </x:c>
      <x:c r="B11" s="11" t="n">
        <x:f>ROUND('Reported PL'!B33-2400,6)</x:f>
        <x:v>0</x:v>
      </x:c>
      <x:c r="C11" s="44"/>
      <x:c r="D11" s="11"/>
      <x:c r="E11" s="11"/>
      <x:c r="F11" s="11"/>
      <x:c r="G11" s="11"/>
      <x:c r="H11" s="11"/>
      <x:c r="I11" s="11"/>
      <x:c r="J11" s="11"/>
      <x:c r="K11" s="11"/>
      <x:c r="L11" s="11"/>
      <x:c r="M11" s="11"/>
      <x:c r="N11" s="11"/>
      <x:c r="O11" s="11"/>
    </x:row>
    <x:row r="12" ht="21" customHeight="1">
      <x:c r="A12" s="2" t="str">
        <x:v>Net income less source control</x:v>
      </x:c>
      <x:c r="B12" s="11" t="n">
        <x:f>ROUND('Reported PL'!B40-1650,6)</x:f>
        <x:v>0</x:v>
      </x:c>
      <x:c r="C12" s="44"/>
      <x:c r="D12" s="11"/>
      <x:c r="E12" s="11"/>
      <x:c r="F12" s="11"/>
      <x:c r="G12" s="11"/>
      <x:c r="H12" s="11"/>
      <x:c r="I12" s="11"/>
      <x:c r="J12" s="11"/>
      <x:c r="K12" s="11"/>
      <x:c r="L12" s="11"/>
      <x:c r="M12" s="11"/>
      <x:c r="N12" s="11"/>
      <x:c r="O12" s="11"/>
    </x:row>
    <x:row r="13" ht="21" customHeight="1">
      <x:c r="A13" s="2"/>
      <x:c r="B13" s="11"/>
      <x:c r="C13" s="44"/>
      <x:c r="D13" s="11"/>
      <x:c r="E13" s="11"/>
      <x:c r="F13" s="11"/>
      <x:c r="G13" s="11"/>
      <x:c r="H13" s="11"/>
      <x:c r="I13" s="11"/>
      <x:c r="J13" s="11"/>
      <x:c r="K13" s="11"/>
      <x:c r="L13" s="11"/>
      <x:c r="M13" s="11"/>
      <x:c r="N13" s="11"/>
      <x:c r="O13" s="11"/>
    </x:row>
    <x:row r="14" ht="21" customHeight="1">
      <x:c r="A14" s="2"/>
      <x:c r="B14" s="11"/>
      <x:c r="C14" s="44"/>
      <x:c r="D14" s="11"/>
      <x:c r="E14" s="11"/>
      <x:c r="F14" s="11"/>
      <x:c r="G14" s="11"/>
      <x:c r="H14" s="11"/>
      <x:c r="I14" s="11"/>
      <x:c r="J14" s="11"/>
      <x:c r="K14" s="11"/>
      <x:c r="L14" s="11"/>
      <x:c r="M14" s="11"/>
      <x:c r="N14" s="11"/>
      <x:c r="O14" s="11"/>
    </x:row>
    <x:row r="15" ht="21" customHeight="1">
      <x:c r="A15" s="2"/>
      <x:c r="B15" s="11"/>
      <x:c r="C15" s="44"/>
      <x:c r="D15" s="11"/>
      <x:c r="E15" s="11"/>
      <x:c r="F15" s="11"/>
      <x:c r="G15" s="11"/>
      <x:c r="H15" s="11"/>
      <x:c r="I15" s="11"/>
      <x:c r="J15" s="11"/>
      <x:c r="K15" s="11"/>
      <x:c r="L15" s="11"/>
      <x:c r="M15" s="11"/>
      <x:c r="N15" s="11"/>
      <x:c r="O15" s="11"/>
    </x:row>
    <x:row r="16" ht="21" customHeight="1">
      <x:c r="A16" s="2" t="str">
        <x:v>Expected differences are zero. Blank cells are not checks. Source-control amounts describe the supplied dataset.</x:v>
      </x:c>
      <x:c r="B16" s="11"/>
      <x:c r="C16" s="44"/>
      <x:c r="D16" s="11"/>
      <x:c r="E16" s="11"/>
      <x:c r="F16" s="11"/>
      <x:c r="G16" s="11"/>
      <x:c r="H16" s="11"/>
      <x:c r="I16" s="11"/>
      <x:c r="J16" s="11"/>
      <x:c r="K16" s="11"/>
      <x:c r="L16" s="11"/>
      <x:c r="M16" s="11"/>
      <x:c r="N16" s="11"/>
      <x:c r="O16" s="11"/>
    </x:row>
    <x:row r="17" ht="21" customHeight="1">
      <x:c r="A17" s="2"/>
      <x:c r="B17" s="11"/>
      <x:c r="C17" s="44"/>
      <x:c r="D17" s="11"/>
      <x:c r="E17" s="11"/>
      <x:c r="F17" s="11"/>
      <x:c r="G17" s="11"/>
      <x:c r="H17" s="11"/>
      <x:c r="I17" s="11"/>
      <x:c r="J17" s="11"/>
      <x:c r="K17" s="11"/>
      <x:c r="L17" s="11"/>
      <x:c r="M17" s="11"/>
      <x:c r="N17" s="11"/>
      <x:c r="O17" s="11"/>
    </x:row>
    <x:row r="18" ht="21" customHeight="1">
      <x:c r="A18" s="2" t="str">
        <x:v>A clean accounting reconciliation does not prove that an EBITDA adjustment is supportable.</x:v>
      </x:c>
      <x:c r="B18" s="11"/>
      <x:c r="C18" s="44"/>
      <x:c r="D18" s="11"/>
      <x:c r="E18" s="11"/>
      <x:c r="F18" s="11"/>
      <x:c r="G18" s="11"/>
      <x:c r="H18" s="11"/>
      <x:c r="I18" s="11"/>
      <x:c r="J18" s="11"/>
      <x:c r="K18" s="11"/>
      <x:c r="L18" s="11"/>
      <x:c r="M18" s="11"/>
      <x:c r="N18" s="11"/>
      <x:c r="O18" s="11"/>
    </x:row>
    <x:row r="19" ht="21" customHeight="1">
      <x:c r="A19" s="2"/>
      <x:c r="B19" s="11"/>
      <x:c r="C19" s="44"/>
      <x:c r="D19" s="11"/>
      <x:c r="E19" s="11"/>
      <x:c r="F19" s="11"/>
      <x:c r="G19" s="11"/>
      <x:c r="H19" s="11"/>
      <x:c r="I19" s="11"/>
      <x:c r="J19" s="11"/>
      <x:c r="K19" s="11"/>
      <x:c r="L19" s="11"/>
      <x:c r="M19" s="11"/>
      <x:c r="N19" s="11"/>
      <x:c r="O19" s="11"/>
    </x:row>
    <x:row r="20" ht="21" customHeight="1">
      <x:c r="A20" s="2"/>
      <x:c r="B20" s="11"/>
      <x:c r="C20" s="44"/>
      <x:c r="D20" s="11"/>
      <x:c r="E20" s="11"/>
      <x:c r="F20" s="11"/>
      <x:c r="G20" s="11"/>
      <x:c r="H20" s="11"/>
      <x:c r="I20" s="11"/>
      <x:c r="J20" s="11"/>
      <x:c r="K20" s="11"/>
      <x:c r="L20" s="11"/>
      <x:c r="M20" s="11"/>
      <x:c r="N20" s="11"/>
      <x:c r="O20" s="11"/>
    </x:row>
    <x:row r="21" ht="21" customHeight="1">
      <x:c r="A21" s="2"/>
      <x:c r="B21" s="11"/>
      <x:c r="C21" s="44"/>
      <x:c r="D21" s="11"/>
      <x:c r="E21" s="11"/>
      <x:c r="F21" s="11"/>
      <x:c r="G21" s="11"/>
      <x:c r="H21" s="11"/>
      <x:c r="I21" s="11"/>
      <x:c r="J21" s="11"/>
      <x:c r="K21" s="11"/>
      <x:c r="L21" s="11"/>
      <x:c r="M21" s="11"/>
      <x:c r="N21" s="11"/>
      <x:c r="O21" s="11"/>
    </x:row>
    <x:row r="22" ht="21" customHeight="1">
      <x:c r="A22" s="2"/>
      <x:c r="B22" s="11"/>
      <x:c r="C22" s="44"/>
      <x:c r="D22" s="11"/>
      <x:c r="E22" s="11"/>
      <x:c r="F22" s="11"/>
      <x:c r="G22" s="11"/>
      <x:c r="H22" s="11"/>
      <x:c r="I22" s="11"/>
      <x:c r="J22" s="11"/>
      <x:c r="K22" s="11"/>
      <x:c r="L22" s="11"/>
      <x:c r="M22" s="11"/>
      <x:c r="N22" s="11"/>
      <x:c r="O22" s="11"/>
    </x:row>
    <x:row r="23" ht="21" customHeight="1">
      <x:c r="A23" s="2"/>
      <x:c r="B23" s="11"/>
      <x:c r="C23" s="44"/>
      <x:c r="D23" s="11"/>
      <x:c r="E23" s="11"/>
      <x:c r="F23" s="11"/>
      <x:c r="G23" s="11"/>
      <x:c r="H23" s="11"/>
      <x:c r="I23" s="11"/>
      <x:c r="J23" s="11"/>
      <x:c r="K23" s="11"/>
      <x:c r="L23" s="11"/>
      <x:c r="M23" s="11"/>
      <x:c r="N23" s="11"/>
      <x:c r="O23" s="11"/>
    </x:row>
    <x:row r="24" ht="21" customHeight="1">
      <x:c r="A24" s="2"/>
      <x:c r="B24" s="11"/>
      <x:c r="C24" s="44"/>
      <x:c r="D24" s="11"/>
      <x:c r="E24" s="11"/>
      <x:c r="F24" s="11"/>
      <x:c r="G24" s="11"/>
      <x:c r="H24" s="11"/>
      <x:c r="I24" s="11"/>
      <x:c r="J24" s="11"/>
      <x:c r="K24" s="11"/>
      <x:c r="L24" s="11"/>
      <x:c r="M24" s="11"/>
      <x:c r="N24" s="11"/>
      <x:c r="O24" s="11"/>
    </x:row>
    <x:row r="25" ht="21" customHeight="1">
      <x:c r="A25" s="2"/>
      <x:c r="B25" s="11"/>
      <x:c r="C25" s="44"/>
      <x:c r="D25" s="11"/>
      <x:c r="E25" s="11"/>
      <x:c r="F25" s="11"/>
      <x:c r="G25" s="11"/>
      <x:c r="H25" s="11"/>
      <x:c r="I25" s="11"/>
      <x:c r="J25" s="11"/>
      <x:c r="K25" s="11"/>
      <x:c r="L25" s="11"/>
      <x:c r="M25" s="11"/>
      <x:c r="N25" s="11"/>
      <x:c r="O25" s="11"/>
    </x:row>
    <x:row r="26" ht="21" customHeight="1">
      <x:c r="A26" s="2"/>
      <x:c r="B26" s="21"/>
      <x:c r="C26" s="23"/>
      <x:c r="D26" s="21"/>
      <x:c r="E26" s="21"/>
      <x:c r="F26" s="21"/>
      <x:c r="G26" s="21"/>
      <x:c r="H26" s="21"/>
      <x:c r="I26" s="21"/>
      <x:c r="J26" s="21"/>
      <x:c r="K26" s="21"/>
      <x:c r="L26" s="21"/>
      <x:c r="M26" s="21"/>
      <x:c r="N26" s="21"/>
      <x:c r="O26" s="21"/>
    </x:row>
    <x:row r="27" ht="21" customHeight="1">
      <x:c r="A27" s="2"/>
      <x:c r="B27" s="21"/>
      <x:c r="C27" s="23"/>
      <x:c r="D27" s="21"/>
      <x:c r="E27" s="21"/>
      <x:c r="F27" s="21"/>
      <x:c r="G27" s="21"/>
      <x:c r="H27" s="21"/>
      <x:c r="I27" s="21"/>
      <x:c r="J27" s="21"/>
      <x:c r="K27" s="21"/>
      <x:c r="L27" s="21"/>
      <x:c r="M27" s="21"/>
      <x:c r="N27" s="21"/>
      <x:c r="O27" s="21"/>
    </x:row>
    <x:row r="28">
      <x:c r="A28" s="46"/>
      <x:c r="B28" s="47"/>
      <x:c r="C28" s="48"/>
      <x:c r="D28" s="47"/>
      <x:c r="E28" s="47"/>
      <x:c r="F28" s="47"/>
      <x:c r="G28" s="47"/>
      <x:c r="H28" s="47"/>
      <x:c r="I28" s="47"/>
      <x:c r="J28" s="47"/>
      <x:c r="K28" s="47"/>
      <x:c r="L28" s="47"/>
      <x:c r="M28" s="47"/>
      <x:c r="N28" s="47"/>
      <x:c r="O28" s="47"/>
    </x:row>
    <x:row r="29">
      <x:c r="A29" s="46"/>
      <x:c r="B29" s="47"/>
      <x:c r="C29" s="48"/>
      <x:c r="D29" s="47"/>
      <x:c r="E29" s="47"/>
      <x:c r="F29" s="47"/>
      <x:c r="G29" s="47"/>
      <x:c r="H29" s="47"/>
      <x:c r="I29" s="47"/>
      <x:c r="J29" s="47"/>
      <x:c r="K29" s="47"/>
      <x:c r="L29" s="47"/>
      <x:c r="M29" s="47"/>
      <x:c r="N29" s="47"/>
      <x:c r="O29" s="47"/>
    </x:row>
    <x:row r="30">
      <x:c r="A30" s="46"/>
      <x:c r="B30" s="47"/>
      <x:c r="C30" s="48"/>
      <x:c r="D30" s="47"/>
      <x:c r="E30" s="47"/>
      <x:c r="F30" s="47"/>
      <x:c r="G30" s="47"/>
      <x:c r="H30" s="47"/>
      <x:c r="I30" s="47"/>
      <x:c r="J30" s="47"/>
      <x:c r="K30" s="47"/>
      <x:c r="L30" s="47"/>
      <x:c r="M30" s="47"/>
      <x:c r="N30" s="47"/>
      <x:c r="O30" s="47"/>
    </x:row>
    <x:row r="31">
      <x:c r="A31" s="46"/>
      <x:c r="B31" s="47"/>
      <x:c r="C31" s="48"/>
      <x:c r="D31" s="47"/>
      <x:c r="E31" s="47"/>
      <x:c r="F31" s="47"/>
      <x:c r="G31" s="47"/>
      <x:c r="H31" s="47"/>
      <x:c r="I31" s="47"/>
      <x:c r="J31" s="47"/>
      <x:c r="K31" s="47"/>
      <x:c r="L31" s="47"/>
      <x:c r="M31" s="47"/>
      <x:c r="N31" s="47"/>
      <x:c r="O31" s="47"/>
    </x:row>
    <x:row r="32">
      <x:c r="A32" s="46"/>
      <x:c r="B32" s="47"/>
      <x:c r="C32" s="48"/>
      <x:c r="D32" s="47"/>
      <x:c r="E32" s="47"/>
      <x:c r="F32" s="47"/>
      <x:c r="G32" s="47"/>
      <x:c r="H32" s="47"/>
      <x:c r="I32" s="47"/>
      <x:c r="J32" s="47"/>
      <x:c r="K32" s="47"/>
      <x:c r="L32" s="47"/>
      <x:c r="M32" s="47"/>
      <x:c r="N32" s="47"/>
      <x:c r="O32" s="47"/>
    </x:row>
    <x:row r="33">
      <x:c r="A33" s="46"/>
      <x:c r="B33" s="47"/>
      <x:c r="C33" s="48"/>
      <x:c r="D33" s="47"/>
      <x:c r="E33" s="47"/>
      <x:c r="F33" s="47"/>
      <x:c r="G33" s="47"/>
      <x:c r="H33" s="47"/>
      <x:c r="I33" s="47"/>
      <x:c r="J33" s="47"/>
      <x:c r="K33" s="47"/>
      <x:c r="L33" s="47"/>
      <x:c r="M33" s="47"/>
      <x:c r="N33" s="47"/>
      <x:c r="O33" s="47"/>
    </x:row>
    <x:row r="34">
      <x:c r="A34" s="46"/>
      <x:c r="B34" s="47"/>
      <x:c r="C34" s="48"/>
      <x:c r="D34" s="47"/>
      <x:c r="E34" s="47"/>
      <x:c r="F34" s="47"/>
      <x:c r="G34" s="47"/>
      <x:c r="H34" s="47"/>
      <x:c r="I34" s="47"/>
      <x:c r="J34" s="47"/>
      <x:c r="K34" s="47"/>
      <x:c r="L34" s="47"/>
      <x:c r="M34" s="47"/>
      <x:c r="N34" s="47"/>
      <x:c r="O34" s="47"/>
    </x:row>
    <x:row r="35">
      <x:c r="A35" s="46"/>
      <x:c r="B35" s="47"/>
      <x:c r="C35" s="48"/>
      <x:c r="D35" s="47"/>
      <x:c r="E35" s="47"/>
      <x:c r="F35" s="47"/>
      <x:c r="G35" s="47"/>
      <x:c r="H35" s="47"/>
      <x:c r="I35" s="47"/>
      <x:c r="J35" s="47"/>
      <x:c r="K35" s="47"/>
      <x:c r="L35" s="47"/>
      <x:c r="M35" s="47"/>
      <x:c r="N35" s="47"/>
      <x:c r="O35" s="47"/>
    </x:row>
    <x:row r="36">
      <x:c r="A36" s="46"/>
      <x:c r="B36" s="47"/>
      <x:c r="C36" s="48"/>
      <x:c r="D36" s="47"/>
      <x:c r="E36" s="47"/>
      <x:c r="F36" s="47"/>
      <x:c r="G36" s="47"/>
      <x:c r="H36" s="47"/>
      <x:c r="I36" s="47"/>
      <x:c r="J36" s="47"/>
      <x:c r="K36" s="47"/>
      <x:c r="L36" s="47"/>
      <x:c r="M36" s="47"/>
      <x:c r="N36" s="47"/>
      <x:c r="O36" s="47"/>
    </x:row>
    <x:row r="37">
      <x:c r="A37" s="46"/>
      <x:c r="B37" s="47"/>
      <x:c r="C37" s="48"/>
      <x:c r="D37" s="47"/>
      <x:c r="E37" s="47"/>
      <x:c r="F37" s="47"/>
      <x:c r="G37" s="47"/>
      <x:c r="H37" s="47"/>
      <x:c r="I37" s="47"/>
      <x:c r="J37" s="47"/>
      <x:c r="K37" s="47"/>
      <x:c r="L37" s="47"/>
      <x:c r="M37" s="47"/>
      <x:c r="N37" s="47"/>
      <x:c r="O37" s="47"/>
    </x:row>
    <x:row r="38">
      <x:c r="A38" s="46"/>
      <x:c r="B38" s="47"/>
      <x:c r="C38" s="48"/>
      <x:c r="D38" s="47"/>
      <x:c r="E38" s="47"/>
      <x:c r="F38" s="47"/>
      <x:c r="G38" s="47"/>
      <x:c r="H38" s="47"/>
      <x:c r="I38" s="47"/>
      <x:c r="J38" s="47"/>
      <x:c r="K38" s="47"/>
      <x:c r="L38" s="47"/>
      <x:c r="M38" s="47"/>
      <x:c r="N38" s="47"/>
      <x:c r="O38" s="47"/>
    </x:row>
    <x:row r="39">
      <x:c r="A39" s="46"/>
      <x:c r="B39" s="47"/>
      <x:c r="C39" s="48"/>
      <x:c r="D39" s="47"/>
      <x:c r="E39" s="47"/>
      <x:c r="F39" s="47"/>
      <x:c r="G39" s="47"/>
      <x:c r="H39" s="47"/>
      <x:c r="I39" s="47"/>
      <x:c r="J39" s="47"/>
      <x:c r="K39" s="47"/>
      <x:c r="L39" s="47"/>
      <x:c r="M39" s="47"/>
      <x:c r="N39" s="47"/>
      <x:c r="O39" s="47"/>
    </x:row>
    <x:row r="40">
      <x:c r="A40" s="46"/>
      <x:c r="B40" s="47"/>
      <x:c r="C40" s="48"/>
      <x:c r="D40" s="47"/>
      <x:c r="E40" s="47"/>
      <x:c r="F40" s="47"/>
      <x:c r="G40" s="47"/>
      <x:c r="H40" s="47"/>
      <x:c r="I40" s="47"/>
      <x:c r="J40" s="47"/>
      <x:c r="K40" s="47"/>
      <x:c r="L40" s="47"/>
      <x:c r="M40" s="47"/>
      <x:c r="N40" s="47"/>
      <x:c r="O40" s="47"/>
    </x:row>
    <x:row r="41">
      <x:c r="A41" s="46"/>
      <x:c r="B41" s="47"/>
      <x:c r="C41" s="48"/>
      <x:c r="D41" s="47"/>
      <x:c r="E41" s="47"/>
      <x:c r="F41" s="47"/>
      <x:c r="G41" s="47"/>
      <x:c r="H41" s="47"/>
      <x:c r="I41" s="47"/>
      <x:c r="J41" s="47"/>
      <x:c r="K41" s="47"/>
      <x:c r="L41" s="47"/>
      <x:c r="M41" s="47"/>
      <x:c r="N41" s="47"/>
      <x:c r="O41" s="47"/>
    </x:row>
    <x:row r="42">
      <x:c r="A42" s="46"/>
      <x:c r="B42" s="47"/>
      <x:c r="C42" s="48"/>
      <x:c r="D42" s="47"/>
      <x:c r="E42" s="47"/>
      <x:c r="F42" s="47"/>
      <x:c r="G42" s="47"/>
      <x:c r="H42" s="47"/>
      <x:c r="I42" s="47"/>
      <x:c r="J42" s="47"/>
      <x:c r="K42" s="47"/>
      <x:c r="L42" s="47"/>
      <x:c r="M42" s="47"/>
      <x:c r="N42" s="47"/>
      <x:c r="O42" s="47"/>
    </x:row>
    <x:row r="43">
      <x:c r="A43" s="46"/>
      <x:c r="B43" s="47"/>
      <x:c r="C43" s="48"/>
      <x:c r="D43" s="47"/>
      <x:c r="E43" s="47"/>
      <x:c r="F43" s="47"/>
      <x:c r="G43" s="47"/>
      <x:c r="H43" s="47"/>
      <x:c r="I43" s="47"/>
      <x:c r="J43" s="47"/>
      <x:c r="K43" s="47"/>
      <x:c r="L43" s="47"/>
      <x:c r="M43" s="47"/>
      <x:c r="N43" s="47"/>
      <x:c r="O43" s="47"/>
    </x:row>
    <x:row r="44">
      <x:c r="A44" s="46"/>
      <x:c r="B44" s="47"/>
      <x:c r="C44" s="48"/>
      <x:c r="D44" s="47"/>
      <x:c r="E44" s="47"/>
      <x:c r="F44" s="47"/>
      <x:c r="G44" s="47"/>
      <x:c r="H44" s="47"/>
      <x:c r="I44" s="47"/>
      <x:c r="J44" s="47"/>
      <x:c r="K44" s="47"/>
      <x:c r="L44" s="47"/>
      <x:c r="M44" s="47"/>
      <x:c r="N44" s="47"/>
      <x:c r="O44" s="47"/>
    </x:row>
    <x:row r="45">
      <x:c r="A45" s="46"/>
      <x:c r="B45" s="47"/>
      <x:c r="C45" s="48"/>
      <x:c r="D45" s="47"/>
      <x:c r="E45" s="47"/>
      <x:c r="F45" s="47"/>
      <x:c r="G45" s="47"/>
      <x:c r="H45" s="47"/>
      <x:c r="I45" s="47"/>
      <x:c r="J45" s="47"/>
      <x:c r="K45" s="47"/>
      <x:c r="L45" s="47"/>
      <x:c r="M45" s="47"/>
      <x:c r="N45" s="47"/>
      <x:c r="O45" s="47"/>
    </x:row>
    <x:row r="46">
      <x:c r="A46" s="46"/>
      <x:c r="B46" s="47"/>
      <x:c r="C46" s="48"/>
      <x:c r="D46" s="47"/>
      <x:c r="E46" s="47"/>
      <x:c r="F46" s="47"/>
      <x:c r="G46" s="47"/>
      <x:c r="H46" s="47"/>
      <x:c r="I46" s="47"/>
      <x:c r="J46" s="47"/>
      <x:c r="K46" s="47"/>
      <x:c r="L46" s="47"/>
      <x:c r="M46" s="47"/>
      <x:c r="N46" s="47"/>
      <x:c r="O46" s="47"/>
    </x:row>
    <x:row r="47">
      <x:c r="A47" s="46"/>
      <x:c r="B47" s="47"/>
      <x:c r="C47" s="48"/>
      <x:c r="D47" s="47"/>
      <x:c r="E47" s="47"/>
      <x:c r="F47" s="47"/>
      <x:c r="G47" s="47"/>
      <x:c r="H47" s="47"/>
      <x:c r="I47" s="47"/>
      <x:c r="J47" s="47"/>
      <x:c r="K47" s="47"/>
      <x:c r="L47" s="47"/>
      <x:c r="M47" s="47"/>
      <x:c r="N47" s="47"/>
      <x:c r="O47" s="47"/>
    </x:row>
    <x:row r="48">
      <x:c r="A48" s="46"/>
      <x:c r="B48" s="47"/>
      <x:c r="C48" s="48"/>
      <x:c r="D48" s="47"/>
      <x:c r="E48" s="47"/>
      <x:c r="F48" s="47"/>
      <x:c r="G48" s="47"/>
      <x:c r="H48" s="47"/>
      <x:c r="I48" s="47"/>
      <x:c r="J48" s="47"/>
      <x:c r="K48" s="47"/>
      <x:c r="L48" s="47"/>
      <x:c r="M48" s="47"/>
      <x:c r="N48" s="47"/>
      <x:c r="O48" s="47"/>
    </x:row>
    <x:row r="49">
      <x:c r="A49" s="46"/>
      <x:c r="B49" s="47"/>
      <x:c r="C49" s="48"/>
      <x:c r="D49" s="47"/>
      <x:c r="E49" s="47"/>
      <x:c r="F49" s="47"/>
      <x:c r="G49" s="47"/>
      <x:c r="H49" s="47"/>
      <x:c r="I49" s="47"/>
      <x:c r="J49" s="47"/>
      <x:c r="K49" s="47"/>
      <x:c r="L49" s="47"/>
      <x:c r="M49" s="47"/>
      <x:c r="N49" s="47"/>
      <x:c r="O49" s="47"/>
    </x:row>
    <x:row r="50">
      <x:c r="A50" s="46"/>
      <x:c r="B50" s="47"/>
      <x:c r="C50" s="48"/>
      <x:c r="D50" s="47"/>
      <x:c r="E50" s="47"/>
      <x:c r="F50" s="47"/>
      <x:c r="G50" s="47"/>
      <x:c r="H50" s="47"/>
      <x:c r="I50" s="47"/>
      <x:c r="J50" s="47"/>
      <x:c r="K50" s="47"/>
      <x:c r="L50" s="47"/>
      <x:c r="M50" s="47"/>
      <x:c r="N50" s="47"/>
      <x:c r="O50" s="47"/>
    </x:row>
    <x:row r="51">
      <x:c r="A51" s="46"/>
      <x:c r="B51" s="47"/>
      <x:c r="C51" s="48"/>
      <x:c r="D51" s="47"/>
      <x:c r="E51" s="47"/>
      <x:c r="F51" s="47"/>
      <x:c r="G51" s="47"/>
      <x:c r="H51" s="47"/>
      <x:c r="I51" s="47"/>
      <x:c r="J51" s="47"/>
      <x:c r="K51" s="47"/>
      <x:c r="L51" s="47"/>
      <x:c r="M51" s="47"/>
      <x:c r="N51" s="47"/>
      <x:c r="O51" s="47"/>
    </x:row>
    <x:row r="52">
      <x:c r="A52" s="46"/>
      <x:c r="B52" s="47"/>
      <x:c r="C52" s="48"/>
      <x:c r="D52" s="47"/>
      <x:c r="E52" s="47"/>
      <x:c r="F52" s="47"/>
      <x:c r="G52" s="47"/>
      <x:c r="H52" s="47"/>
      <x:c r="I52" s="47"/>
      <x:c r="J52" s="47"/>
      <x:c r="K52" s="47"/>
      <x:c r="L52" s="47"/>
      <x:c r="M52" s="47"/>
      <x:c r="N52" s="47"/>
      <x:c r="O52" s="47"/>
    </x:row>
    <x:row r="53">
      <x:c r="A53" s="46"/>
      <x:c r="B53" s="47"/>
      <x:c r="C53" s="48"/>
      <x:c r="D53" s="47"/>
      <x:c r="E53" s="47"/>
      <x:c r="F53" s="47"/>
      <x:c r="G53" s="47"/>
      <x:c r="H53" s="47"/>
      <x:c r="I53" s="47"/>
      <x:c r="J53" s="47"/>
      <x:c r="K53" s="47"/>
      <x:c r="L53" s="47"/>
      <x:c r="M53" s="47"/>
      <x:c r="N53" s="47"/>
      <x:c r="O53" s="47"/>
    </x:row>
    <x:row r="54">
      <x:c r="A54" s="46"/>
      <x:c r="B54" s="47"/>
      <x:c r="C54" s="48"/>
      <x:c r="D54" s="47"/>
      <x:c r="E54" s="47"/>
      <x:c r="F54" s="47"/>
      <x:c r="G54" s="47"/>
      <x:c r="H54" s="47"/>
      <x:c r="I54" s="47"/>
      <x:c r="J54" s="47"/>
      <x:c r="K54" s="47"/>
      <x:c r="L54" s="47"/>
      <x:c r="M54" s="47"/>
      <x:c r="N54" s="47"/>
      <x:c r="O54" s="47"/>
    </x:row>
    <x:row r="55">
      <x:c r="A55" s="46"/>
      <x:c r="B55" s="47"/>
      <x:c r="C55" s="48"/>
      <x:c r="D55" s="47"/>
      <x:c r="E55" s="47"/>
      <x:c r="F55" s="47"/>
      <x:c r="G55" s="47"/>
      <x:c r="H55" s="47"/>
      <x:c r="I55" s="47"/>
      <x:c r="J55" s="47"/>
      <x:c r="K55" s="47"/>
      <x:c r="L55" s="47"/>
      <x:c r="M55" s="47"/>
      <x:c r="N55" s="47"/>
      <x:c r="O55" s="47"/>
    </x:row>
    <x:row r="56">
      <x:c r="A56" s="46"/>
      <x:c r="B56" s="47"/>
      <x:c r="C56" s="48"/>
      <x:c r="D56" s="47"/>
      <x:c r="E56" s="47"/>
      <x:c r="F56" s="47"/>
      <x:c r="G56" s="47"/>
      <x:c r="H56" s="47"/>
      <x:c r="I56" s="47"/>
      <x:c r="J56" s="47"/>
      <x:c r="K56" s="47"/>
      <x:c r="L56" s="47"/>
      <x:c r="M56" s="47"/>
      <x:c r="N56" s="47"/>
      <x:c r="O56" s="47"/>
    </x:row>
    <x:row r="57">
      <x:c r="A57" s="46"/>
      <x:c r="B57" s="47"/>
      <x:c r="C57" s="48"/>
      <x:c r="D57" s="47"/>
      <x:c r="E57" s="47"/>
      <x:c r="F57" s="47"/>
      <x:c r="G57" s="47"/>
      <x:c r="H57" s="47"/>
      <x:c r="I57" s="47"/>
      <x:c r="J57" s="47"/>
      <x:c r="K57" s="47"/>
      <x:c r="L57" s="47"/>
      <x:c r="M57" s="47"/>
      <x:c r="N57" s="47"/>
      <x:c r="O57" s="47"/>
    </x:row>
    <x:row r="58">
      <x:c r="A58" s="46"/>
      <x:c r="B58" s="47"/>
      <x:c r="C58" s="48"/>
      <x:c r="D58" s="47"/>
      <x:c r="E58" s="47"/>
      <x:c r="F58" s="47"/>
      <x:c r="G58" s="47"/>
      <x:c r="H58" s="47"/>
      <x:c r="I58" s="47"/>
      <x:c r="J58" s="47"/>
      <x:c r="K58" s="47"/>
      <x:c r="L58" s="47"/>
      <x:c r="M58" s="47"/>
      <x:c r="N58" s="47"/>
      <x:c r="O58" s="47"/>
    </x:row>
    <x:row r="59">
      <x:c r="A59" s="46"/>
      <x:c r="B59" s="47"/>
      <x:c r="C59" s="48"/>
      <x:c r="D59" s="47"/>
      <x:c r="E59" s="47"/>
      <x:c r="F59" s="47"/>
      <x:c r="G59" s="47"/>
      <x:c r="H59" s="47"/>
      <x:c r="I59" s="47"/>
      <x:c r="J59" s="47"/>
      <x:c r="K59" s="47"/>
      <x:c r="L59" s="47"/>
      <x:c r="M59" s="47"/>
      <x:c r="N59" s="47"/>
      <x:c r="O59" s="47"/>
    </x:row>
    <x:row r="60">
      <x:c r="A60" s="46"/>
      <x:c r="B60" s="47"/>
      <x:c r="C60" s="48"/>
      <x:c r="D60" s="47"/>
      <x:c r="E60" s="47"/>
      <x:c r="F60" s="47"/>
      <x:c r="G60" s="47"/>
      <x:c r="H60" s="47"/>
      <x:c r="I60" s="47"/>
      <x:c r="J60" s="47"/>
      <x:c r="K60" s="47"/>
      <x:c r="L60" s="47"/>
      <x:c r="M60" s="47"/>
      <x:c r="N60" s="47"/>
      <x:c r="O60" s="47"/>
    </x:row>
  </x:sheetData>
  <x:conditionalFormatting sqref="B6:O12">
    <x:cfRule type="expression" dxfId="0" priority="1">
      <x:formula>AND(ISNUMBER(B6),ABS(B6)&gt;0.001)</x:formula>
    </x:cfRule>
  </x:conditionalFormatting>
  <x:pageMargins left="0.7" right="0.7" top="0.75" bottom="0.75" header="0.3" footer="0.3"/>
</x:worksheet>
</file>